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9a5e4e2b2841a3" /></Relationships>
</file>

<file path=xl/workbook.xml><?xml version="1.0" encoding="utf-8"?>
<x:workbook xmlns:x="http://schemas.openxmlformats.org/spreadsheetml/2006/main">
  <x:sheets>
    <x:sheet xmlns:r="http://schemas.openxmlformats.org/officeDocument/2006/relationships" name="Cover" sheetId="1" r:id="Rb75e9c58943c4ff6"/>
    <x:sheet xmlns:r="http://schemas.openxmlformats.org/officeDocument/2006/relationships" name="DCF" sheetId="2" r:id="Rf7827e7f2d294228"/>
    <x:sheet xmlns:r="http://schemas.openxmlformats.org/officeDocument/2006/relationships" name="Sensitivities" sheetId="3" r:id="R0d90badffbb6477f"/>
    <x:sheet xmlns:r="http://schemas.openxmlformats.org/officeDocument/2006/relationships" name="Assumptions" sheetId="4" r:id="Rb8a1907343904f71"/>
    <x:sheet xmlns:r="http://schemas.openxmlformats.org/officeDocument/2006/relationships" name="Forecast" sheetId="5" r:id="R4418c9911c8d465d"/>
    <x:sheet xmlns:r="http://schemas.openxmlformats.org/officeDocument/2006/relationships" name="Drivers" sheetId="6" r:id="R62baeb6553c84c27"/>
    <x:sheet xmlns:r="http://schemas.openxmlformats.org/officeDocument/2006/relationships" name="Scenarios" sheetId="7" r:id="R2f30c72535f34003"/>
    <x:sheet xmlns:r="http://schemas.openxmlformats.org/officeDocument/2006/relationships" name="WACC" sheetId="8" r:id="Rbd0612e5f02442a8"/>
    <x:sheet xmlns:r="http://schemas.openxmlformats.org/officeDocument/2006/relationships" name="Historical" sheetId="9" r:id="R9fbfd63864d24bc0"/>
    <x:sheet xmlns:r="http://schemas.openxmlformats.org/officeDocument/2006/relationships" name="KPIs" sheetId="10" r:id="R0115f84fad6341a7"/>
    <x:sheet xmlns:r="http://schemas.openxmlformats.org/officeDocument/2006/relationships" name="Comps" sheetId="11" r:id="R059a1070186b40c0"/>
    <x:sheet xmlns:r="http://schemas.openxmlformats.org/officeDocument/2006/relationships" name="Assumption Notes" sheetId="12" r:id="R8a71dd81dce84ad8"/>
    <x:sheet xmlns:r="http://schemas.openxmlformats.org/officeDocument/2006/relationships" name="Sources" sheetId="13" r:id="Red17154e4ea94033"/>
  </x:sheets>
</x:workbook>
</file>

<file path=xl/sharedStrings.xml><?xml version="1.0" encoding="utf-8"?>
<x:sst xmlns:x="http://schemas.openxmlformats.org/spreadsheetml/2006/main"/>
</file>

<file path=xl/styles.xml><?xml version="1.0" encoding="utf-8"?>
<x:styleSheet xmlns:x="http://schemas.openxmlformats.org/spreadsheetml/2006/main">
  <x:numFmts count="23">
    <x:numFmt numFmtId="200" formatCode="#,##0.0;(#,##0.0);&quot;-&quot;"/>
    <x:numFmt numFmtId="201" formatCode="General"/>
    <x:numFmt numFmtId="202" formatCode="$#,##0.00;($#,##0.00);-"/>
    <x:numFmt numFmtId="203" formatCode="0.0%;(0.0%);-"/>
    <x:numFmt numFmtId="204" formatCode="#,##0.0;(#,##0.0);-"/>
    <x:numFmt numFmtId="205" formatCode="0.0%"/>
    <x:numFmt numFmtId="206" formatCode="0.000x"/>
    <x:numFmt numFmtId="207" formatCode="0.0000%"/>
    <x:numFmt numFmtId="208" formatCode="0.00%"/>
    <x:numFmt numFmtId="209" formatCode="0.0x"/>
    <x:numFmt numFmtId="210" formatCode="#,##0.000"/>
    <x:numFmt numFmtId="211" formatCode="0.0%;(0.0%);&quot;-&quot;"/>
    <x:numFmt numFmtId="212" formatCode="m/d/yyyy"/>
    <x:numFmt numFmtId="213" formatCode="#,##0.000;(#,##0.000);-"/>
    <x:numFmt numFmtId="214" formatCode="0.0"/>
    <x:numFmt numFmtId="215" formatCode="d mmm yyyy"/>
    <x:numFmt numFmtId="216" formatCode="0.0000"/>
    <x:numFmt numFmtId="217" formatCode="0.00x"/>
    <x:numFmt numFmtId="218" formatCode="$0.00;($0.00);&quot;-&quot;"/>
    <x:numFmt numFmtId="219" formatCode="0.0&quot;x&quot;"/>
    <x:numFmt numFmtId="220" formatCode="0.000"/>
    <x:numFmt numFmtId="221" formatCode="0"/>
    <x:numFmt numFmtId="222" formatCode="0.00&quot;x&quot;"/>
  </x:numFmts>
  <x:fonts count="12">
    <x:font>
      <x:sz val="11"/>
      <x:name val="Carlito"/>
    </x:font>
    <x:font>
      <x:sz val="10"/>
      <x:color rgb="FF19384D"/>
      <x:name val="Arial"/>
    </x:font>
    <x:font>
      <x:b/>
      <x:sz val="15"/>
      <x:color rgb="FF19384D"/>
      <x:name val="Arial"/>
    </x:font>
    <x:font>
      <x:sz val="10"/>
      <x:color rgb="FF62717C"/>
      <x:name val="Arial"/>
    </x:font>
    <x:font>
      <x:b/>
      <x:sz val="10"/>
      <x:color rgb="FF19384D"/>
      <x:name val="Arial"/>
    </x:font>
    <x:font>
      <x:b/>
      <x:sz val="10"/>
      <x:color rgb="FFFFFFFF"/>
      <x:name val="Arial"/>
    </x:font>
    <x:font>
      <x:sz val="10"/>
      <x:color rgb="FF205C95"/>
      <x:name val="Arial"/>
    </x:font>
    <x:font>
      <x:sz val="10"/>
      <x:color rgb="FF1D2024"/>
      <x:name val="Arial"/>
    </x:font>
    <x:font>
      <x:sz val="10"/>
      <x:color rgb="FF137046"/>
      <x:name val="Arial"/>
    </x:font>
    <x:font>
      <x:b/>
      <x:sz val="16"/>
      <x:color rgb="FF19384D"/>
      <x:name val="Arial"/>
    </x:font>
    <x:font>
      <x:sz val="10"/>
      <x:color rgb="FF19384D"/>
      <x:name val="Arial"/>
    </x:font>
    <x:font>
      <x:sz val="10"/>
      <x:color rgb="FF008000"/>
      <x:name val="Arial"/>
    </x:font>
  </x:fonts>
  <x:fills count="6">
    <x:fill>
      <x:patternFill patternType="none"/>
    </x:fill>
    <x:fill>
      <x:patternFill patternType="gray125"/>
    </x:fill>
    <x:fill>
      <x:patternFill patternType="solid">
        <x:fgColor rgb="FFFFFFFF"/>
      </x:patternFill>
    </x:fill>
    <x:fill>
      <x:patternFill patternType="solid">
        <x:fgColor rgb="FFDDE7EC"/>
      </x:patternFill>
    </x:fill>
    <x:fill>
      <x:patternFill patternType="solid">
        <x:fgColor rgb="FF19384D"/>
      </x:patternFill>
    </x:fill>
    <x:fill>
      <x:patternFill patternType="solid">
        <x:fgColor rgb="FFE8EEF2"/>
      </x:patternFill>
    </x:fill>
  </x:fills>
  <x:borders count="2">
    <x:border>
      <x:left/>
      <x:right/>
      <x:top/>
      <x:bottom/>
      <x:diagonal/>
    </x:border>
    <x:border>
      <x:left style="medium">
        <x:color rgb="FF19384D"/>
      </x:left>
      <x:right style="medium">
        <x:color rgb="FF19384D"/>
      </x:right>
      <x:top style="medium">
        <x:color rgb="FF19384D"/>
      </x:top>
      <x:bottom style="medium">
        <x:color rgb="FF19384D"/>
      </x:bottom>
      <x:diagonal/>
    </x:border>
  </x:borders>
  <x:cellStyleXfs count="1">
    <x:xf numFmtId="0" fontId="0" fillId="0" borderId="0"/>
  </x:cellStyleXfs>
  <x:cellXfs count="19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200" fontId="1" fillId="2" borderId="0" xfId="0" applyNumberFormat="1" applyFont="1" applyFill="1" applyBorder="1" applyAlignment="1">
      <x:alignment vertical="center"/>
    </x:xf>
    <x:xf numFmtId="201" fontId="1" fillId="2" borderId="0" xfId="0" applyNumberFormat="1" applyFont="1" applyFill="1" applyBorder="1" applyAlignment="1">
      <x:alignment vertical="center"/>
    </x:xf>
    <x:xf numFmtId="201" fontId="1" fillId="2" borderId="0" xfId="0" applyNumberFormat="1" applyFont="1" applyFill="1" applyBorder="1" applyAlignment="1">
      <x:alignment horizontal="left" vertical="center"/>
    </x:xf>
    <x:xf numFmtId="201" fontId="1" fillId="2" borderId="0" xfId="0" applyNumberFormat="1" applyFont="1" applyFill="1" applyBorder="1" applyAlignment="1">
      <x:alignment horizontal="left" vertical="center" wrapText="1"/>
    </x:xf>
    <x:xf numFmtId="202" fontId="1" fillId="2" borderId="0" xfId="0" applyNumberFormat="1" applyFont="1" applyFill="1" applyBorder="1" applyAlignment="1">
      <x:alignment vertical="center"/>
    </x:xf>
    <x:xf numFmtId="202" fontId="1" fillId="2" borderId="0" xfId="0" applyNumberFormat="1" applyFont="1" applyFill="1" applyBorder="1" applyAlignment="1">
      <x:alignment horizontal="right" vertical="center"/>
    </x:xf>
    <x:xf numFmtId="203" fontId="1" fillId="2" borderId="0" xfId="0" applyNumberFormat="1" applyFont="1" applyFill="1" applyBorder="1" applyAlignment="1">
      <x:alignment vertical="center"/>
    </x:xf>
    <x:xf numFmtId="203" fontId="1" fillId="2" borderId="0" xfId="0" applyNumberFormat="1" applyFont="1" applyFill="1" applyBorder="1" applyAlignment="1">
      <x:alignment horizontal="right" vertical="center"/>
    </x:xf>
    <x:xf numFmtId="204" fontId="1" fillId="2" borderId="0" xfId="0" applyNumberFormat="1" applyFont="1" applyFill="1" applyBorder="1" applyAlignment="1">
      <x:alignment vertical="center"/>
    </x:xf>
    <x:xf numFmtId="204" fontId="1" fillId="2" borderId="0" xfId="0" applyNumberFormat="1" applyFont="1" applyFill="1" applyBorder="1" applyAlignment="1">
      <x:alignment horizontal="right" vertical="center"/>
    </x:xf>
    <x:xf numFmtId="205" fontId="1" fillId="2" borderId="0" xfId="0" applyNumberFormat="1" applyFont="1" applyFill="1" applyBorder="1" applyAlignment="1">
      <x:alignment vertical="center"/>
    </x:xf>
    <x:xf numFmtId="205" fontId="1" fillId="2" borderId="0" xfId="0" applyNumberFormat="1" applyFont="1" applyFill="1" applyBorder="1" applyAlignment="1">
      <x:alignment horizontal="right" vertical="center"/>
    </x:xf>
    <x:xf numFmtId="200" fontId="2" fillId="2" borderId="0" xfId="0" applyNumberFormat="1" applyFont="1" applyFill="1" applyBorder="1" applyAlignment="1">
      <x:alignment vertical="center"/>
    </x:xf>
    <x:xf numFmtId="200" fontId="2" fillId="2" borderId="0" xfId="0" applyNumberFormat="1" applyFont="1" applyFill="1" applyBorder="1" applyAlignment="1">
      <x:alignment vertical="center" wrapText="1"/>
    </x:xf>
    <x:xf numFmtId="200" fontId="2" fillId="2" borderId="0" xfId="0" applyNumberFormat="1" applyFont="1" applyFill="1" applyBorder="1" applyAlignment="1">
      <x:alignment horizontal="left" vertical="center" wrapText="1"/>
    </x:xf>
    <x:xf numFmtId="200" fontId="2" fillId="2" borderId="0" xfId="0" applyNumberFormat="1" applyFont="1" applyFill="1" applyBorder="1" applyAlignment="1">
      <x:alignment horizontal="left" vertical="center" wrapText="0"/>
    </x:xf>
    <x:xf numFmtId="200" fontId="3" fillId="2" borderId="0" xfId="0" applyNumberFormat="1" applyFont="1" applyFill="1" applyBorder="1" applyAlignment="1">
      <x:alignment vertical="center"/>
    </x:xf>
    <x:xf numFmtId="200" fontId="3" fillId="2" borderId="0" xfId="0" applyNumberFormat="1" applyFont="1" applyFill="1" applyBorder="1" applyAlignment="1">
      <x:alignment vertical="center" wrapText="1"/>
    </x:xf>
    <x:xf numFmtId="200" fontId="3" fillId="2" borderId="0" xfId="0" applyNumberFormat="1" applyFont="1" applyFill="1" applyBorder="1" applyAlignment="1">
      <x:alignment horizontal="left" vertical="center" wrapText="1"/>
    </x:xf>
    <x:xf numFmtId="200" fontId="3" fillId="2" borderId="0" xfId="0" applyNumberFormat="1" applyFont="1" applyFill="1" applyBorder="1" applyAlignment="1">
      <x:alignment horizontal="left" vertical="center" wrapText="0"/>
    </x:xf>
    <x:xf numFmtId="201" fontId="1" fillId="3" borderId="0" xfId="0" applyNumberFormat="1" applyFont="1" applyFill="1" applyBorder="1" applyAlignment="1">
      <x:alignment horizontal="left" vertical="center"/>
    </x:xf>
    <x:xf numFmtId="202" fontId="1" fillId="3" borderId="0" xfId="0" applyNumberFormat="1" applyFont="1" applyFill="1" applyBorder="1" applyAlignment="1">
      <x:alignment horizontal="right" vertical="center"/>
    </x:xf>
    <x:xf numFmtId="200" fontId="1" fillId="3" borderId="0" xfId="0" applyNumberFormat="1" applyFont="1" applyFill="1" applyBorder="1" applyAlignment="1">
      <x:alignment vertical="center"/>
    </x:xf>
    <x:xf numFmtId="201" fontId="1" fillId="3" borderId="0" xfId="0" applyNumberFormat="1" applyFont="1" applyFill="1" applyBorder="1" applyAlignment="1">
      <x:alignment horizontal="left" vertical="center" wrapText="1"/>
    </x:xf>
    <x:xf numFmtId="201" fontId="4" fillId="3" borderId="0" xfId="0" applyNumberFormat="1" applyFont="1" applyFill="1" applyBorder="1" applyAlignment="1">
      <x:alignment horizontal="left" vertical="center"/>
    </x:xf>
    <x:xf numFmtId="202" fontId="4" fillId="3" borderId="0" xfId="0" applyNumberFormat="1" applyFont="1" applyFill="1" applyBorder="1" applyAlignment="1">
      <x:alignment horizontal="right" vertical="center"/>
    </x:xf>
    <x:xf numFmtId="200" fontId="4" fillId="3" borderId="0" xfId="0" applyNumberFormat="1" applyFont="1" applyFill="1" applyBorder="1" applyAlignment="1">
      <x:alignment vertical="center"/>
    </x:xf>
    <x:xf numFmtId="201" fontId="4" fillId="3" borderId="0" xfId="0" applyNumberFormat="1" applyFont="1" applyFill="1" applyBorder="1" applyAlignment="1">
      <x:alignment horizontal="left" vertical="center" wrapText="1"/>
    </x:xf>
    <x:xf numFmtId="202" fontId="4" fillId="3" borderId="0" xfId="0" applyNumberFormat="1" applyFont="1" applyFill="1" applyBorder="1" applyAlignment="1">
      <x:alignment horizontal="right" vertical="center" wrapText="1"/>
    </x:xf>
    <x:xf numFmtId="200" fontId="4" fillId="3" borderId="0" xfId="0" applyNumberFormat="1" applyFont="1" applyFill="1" applyBorder="1" applyAlignment="1">
      <x:alignment vertical="center" wrapText="1"/>
    </x:xf>
    <x:xf numFmtId="201" fontId="4" fillId="3" borderId="0" xfId="0" applyNumberFormat="1" applyFont="1" applyFill="1" applyBorder="1" applyAlignment="1">
      <x:alignment horizontal="center" vertical="center" wrapText="1"/>
    </x:xf>
    <x:xf numFmtId="202" fontId="4" fillId="3" borderId="0" xfId="0" applyNumberFormat="1" applyFont="1" applyFill="1" applyBorder="1" applyAlignment="1">
      <x:alignment horizontal="center" vertical="center" wrapText="1"/>
    </x:xf>
    <x:xf numFmtId="200" fontId="4" fillId="3" borderId="0" xfId="0" applyNumberFormat="1" applyFont="1" applyFill="1" applyBorder="1" applyAlignment="1">
      <x:alignment horizontal="center" vertical="center" wrapText="1"/>
    </x:xf>
    <x:xf numFmtId="201" fontId="3" fillId="2" borderId="0" xfId="0" applyNumberFormat="1" applyFont="1" applyFill="1" applyBorder="1" applyAlignment="1">
      <x:alignment horizontal="left" vertical="center" wrapText="1"/>
    </x:xf>
    <x:xf numFmtId="201" fontId="3" fillId="2" borderId="0" xfId="0" applyNumberFormat="1" applyFont="1" applyFill="1" applyBorder="1" applyAlignment="1">
      <x:alignment horizontal="left" vertical="center" wrapText="0"/>
    </x:xf>
    <x:xf numFmtId="200" fontId="3" fillId="2" borderId="0" xfId="0" applyNumberFormat="1" applyFont="1" applyFill="1" applyBorder="1" applyAlignment="1">
      <x:alignment vertical="center" wrapText="0"/>
    </x:xf>
    <x:xf numFmtId="206" fontId="1" fillId="2" borderId="0" xfId="0" applyNumberFormat="1" applyFont="1" applyFill="1" applyBorder="1" applyAlignment="1">
      <x:alignment vertical="center"/>
    </x:xf>
    <x:xf numFmtId="206" fontId="1" fillId="2" borderId="0" xfId="0" applyNumberFormat="1" applyFont="1" applyFill="1" applyBorder="1" applyAlignment="1">
      <x:alignment horizontal="right" vertical="center"/>
    </x:xf>
    <x:xf numFmtId="207" fontId="1" fillId="2" borderId="0" xfId="0" applyNumberFormat="1" applyFont="1" applyFill="1" applyBorder="1" applyAlignment="1">
      <x:alignment vertical="center"/>
    </x:xf>
    <x:xf numFmtId="207" fontId="1" fillId="2" borderId="0" xfId="0" applyNumberFormat="1" applyFont="1" applyFill="1" applyBorder="1" applyAlignment="1">
      <x:alignment horizontal="right" vertical="center"/>
    </x:xf>
    <x:xf numFmtId="208" fontId="1" fillId="2" borderId="0" xfId="0" applyNumberFormat="1" applyFont="1" applyFill="1" applyBorder="1" applyAlignment="1">
      <x:alignment vertical="center"/>
    </x:xf>
    <x:xf numFmtId="208" fontId="1" fillId="2" borderId="0" xfId="0" applyNumberFormat="1" applyFont="1" applyFill="1" applyBorder="1" applyAlignment="1">
      <x:alignment horizontal="right" vertical="center"/>
    </x:xf>
    <x:xf numFmtId="204" fontId="1" fillId="2" borderId="0" xfId="0" applyNumberFormat="1" applyFont="1" applyFill="1" applyBorder="1" applyAlignment="1">
      <x:alignment horizontal="left" vertical="center"/>
    </x:xf>
    <x:xf numFmtId="209" fontId="1" fillId="2" borderId="0" xfId="0" applyNumberFormat="1" applyFont="1" applyFill="1" applyBorder="1" applyAlignment="1">
      <x:alignment vertical="center"/>
    </x:xf>
    <x:xf numFmtId="209" fontId="1" fillId="2" borderId="0" xfId="0" applyNumberFormat="1" applyFont="1" applyFill="1" applyBorder="1" applyAlignment="1">
      <x:alignment horizontal="right" vertical="center"/>
    </x:xf>
    <x:xf numFmtId="210" fontId="1" fillId="2" borderId="0" xfId="0" applyNumberFormat="1" applyFont="1" applyFill="1" applyBorder="1" applyAlignment="1">
      <x:alignment vertical="center"/>
    </x:xf>
    <x:xf numFmtId="210" fontId="1" fillId="2" borderId="0" xfId="0" applyNumberFormat="1" applyFont="1" applyFill="1" applyBorder="1" applyAlignment="1">
      <x:alignment horizontal="right" vertical="center"/>
    </x:xf>
    <x:xf numFmtId="202" fontId="1" fillId="2" borderId="0" xfId="0" applyNumberFormat="1" applyFont="1" applyFill="1" applyBorder="1" applyAlignment="1">
      <x:alignment horizontal="left" vertical="center"/>
    </x:xf>
    <x:xf numFmtId="201" fontId="1" fillId="2" borderId="0" xfId="0" applyNumberFormat="1" applyFont="1" applyFill="1" applyBorder="1" applyAlignment="1">
      <x:alignment horizontal="right" vertical="center"/>
    </x:xf>
    <x:xf numFmtId="201" fontId="5" fillId="2" borderId="0" xfId="0" applyNumberFormat="1" applyFont="1" applyFill="1" applyBorder="1" applyAlignment="1">
      <x:alignment horizontal="left" vertical="center"/>
    </x:xf>
    <x:xf numFmtId="200" fontId="5" fillId="2" borderId="0" xfId="0" applyNumberFormat="1" applyFont="1" applyFill="1" applyBorder="1" applyAlignment="1">
      <x:alignment vertical="center"/>
    </x:xf>
    <x:xf numFmtId="201" fontId="5" fillId="2" borderId="0" xfId="0" applyNumberFormat="1" applyFont="1" applyFill="1" applyBorder="1" applyAlignment="1">
      <x:alignment horizontal="left" vertical="center" wrapText="1"/>
    </x:xf>
    <x:xf numFmtId="200" fontId="5" fillId="2" borderId="0" xfId="0" applyNumberFormat="1" applyFont="1" applyFill="1" applyBorder="1" applyAlignment="1">
      <x:alignment vertical="center" wrapText="1"/>
    </x:xf>
    <x:xf numFmtId="200" fontId="5" fillId="2" borderId="0" xfId="0" applyNumberFormat="1" applyFont="1" applyFill="1" applyBorder="1" applyAlignment="1">
      <x:alignment horizontal="left" vertical="center" wrapText="1"/>
    </x:xf>
    <x:xf numFmtId="201" fontId="5" fillId="4" borderId="0" xfId="0" applyNumberFormat="1" applyFont="1" applyFill="1" applyBorder="1" applyAlignment="1">
      <x:alignment horizontal="left" vertical="center" wrapText="1"/>
    </x:xf>
    <x:xf numFmtId="200" fontId="5" fillId="4" borderId="0" xfId="0" applyNumberFormat="1" applyFont="1" applyFill="1" applyBorder="1" applyAlignment="1">
      <x:alignment horizontal="left" vertical="center" wrapText="1"/>
    </x:xf>
    <x:xf numFmtId="201" fontId="5" fillId="4" borderId="0" xfId="0" applyNumberFormat="1" applyFont="1" applyFill="1" applyBorder="1" applyAlignment="1">
      <x:alignment horizontal="left" vertical="center" wrapText="0"/>
    </x:xf>
    <x:xf numFmtId="200" fontId="5" fillId="4" borderId="0" xfId="0" applyNumberFormat="1" applyFont="1" applyFill="1" applyBorder="1" applyAlignment="1">
      <x:alignment horizontal="left" vertical="center" wrapText="0"/>
    </x:xf>
    <x:xf numFmtId="204" fontId="1" fillId="2" borderId="0" xfId="0" applyNumberFormat="1" applyFont="1" applyFill="1" applyBorder="1" applyAlignment="1">
      <x:alignment horizontal="left" vertical="center" wrapText="1"/>
    </x:xf>
    <x:xf numFmtId="209" fontId="1" fillId="2" borderId="0" xfId="0" applyNumberFormat="1" applyFont="1" applyFill="1" applyBorder="1" applyAlignment="1">
      <x:alignment horizontal="right" vertical="center" wrapText="1"/>
    </x:xf>
    <x:xf numFmtId="204" fontId="1" fillId="2" borderId="0" xfId="0" applyNumberFormat="1" applyFont="1" applyFill="1" applyBorder="1" applyAlignment="1">
      <x:alignment horizontal="right" vertical="center" wrapText="1"/>
    </x:xf>
    <x:xf numFmtId="206" fontId="1" fillId="2" borderId="0" xfId="0" applyNumberFormat="1" applyFont="1" applyFill="1" applyBorder="1" applyAlignment="1">
      <x:alignment horizontal="right" vertical="center" wrapText="1"/>
    </x:xf>
    <x:xf numFmtId="202" fontId="1" fillId="2" borderId="0" xfId="0" applyNumberFormat="1" applyFont="1" applyFill="1" applyBorder="1" applyAlignment="1">
      <x:alignment horizontal="right" vertical="center" wrapText="1"/>
    </x:xf>
    <x:xf numFmtId="202" fontId="1" fillId="2" borderId="0" xfId="0" applyNumberFormat="1" applyFont="1" applyFill="1" applyBorder="1" applyAlignment="1">
      <x:alignment horizontal="left" vertical="center" wrapText="1"/>
    </x:xf>
    <x:xf numFmtId="201" fontId="1" fillId="2" borderId="0" xfId="0" applyNumberFormat="1" applyFont="1" applyFill="1" applyBorder="1" applyAlignment="1">
      <x:alignment horizontal="right" vertical="center" wrapText="1"/>
    </x:xf>
    <x:xf numFmtId="200" fontId="1" fillId="2" borderId="0" xfId="0" applyNumberFormat="1" applyFont="1" applyFill="1" applyBorder="1" applyAlignment="1">
      <x:alignment vertical="center" wrapText="1"/>
    </x:xf>
    <x:xf numFmtId="205" fontId="1" fillId="2" borderId="0" xfId="0" applyNumberFormat="1" applyFont="1" applyFill="1" applyBorder="1" applyAlignment="1">
      <x:alignment horizontal="left" vertical="center"/>
    </x:xf>
    <x:xf numFmtId="200" fontId="1" fillId="2" borderId="0" xfId="0" applyNumberFormat="1" applyFont="1" applyFill="1" applyBorder="1" applyAlignment="1">
      <x:alignment horizontal="right" vertical="center"/>
    </x:xf>
    <x:xf numFmtId="205" fontId="1" fillId="2" borderId="0" xfId="0" applyNumberFormat="1" applyFont="1" applyFill="1" applyBorder="1" applyAlignment="1">
      <x:alignment horizontal="left" vertical="center" wrapText="1"/>
    </x:xf>
    <x:xf numFmtId="208" fontId="1" fillId="3" borderId="0" xfId="0" applyNumberFormat="1" applyFont="1" applyFill="1" applyBorder="1" applyAlignment="1">
      <x:alignment horizontal="right" vertical="center"/>
    </x:xf>
    <x:xf numFmtId="207" fontId="1" fillId="3" borderId="0" xfId="0" applyNumberFormat="1" applyFont="1" applyFill="1" applyBorder="1" applyAlignment="1">
      <x:alignment horizontal="right" vertical="center"/>
    </x:xf>
    <x:xf numFmtId="205" fontId="1" fillId="3" borderId="0" xfId="0" applyNumberFormat="1" applyFont="1" applyFill="1" applyBorder="1" applyAlignment="1">
      <x:alignment horizontal="right" vertical="center"/>
    </x:xf>
    <x:xf numFmtId="208" fontId="4" fillId="3" borderId="0" xfId="0" applyNumberFormat="1" applyFont="1" applyFill="1" applyBorder="1" applyAlignment="1">
      <x:alignment horizontal="right" vertical="center"/>
    </x:xf>
    <x:xf numFmtId="207" fontId="4" fillId="3" borderId="0" xfId="0" applyNumberFormat="1" applyFont="1" applyFill="1" applyBorder="1" applyAlignment="1">
      <x:alignment horizontal="right" vertical="center"/>
    </x:xf>
    <x:xf numFmtId="205" fontId="4" fillId="3" borderId="0" xfId="0" applyNumberFormat="1" applyFont="1" applyFill="1" applyBorder="1" applyAlignment="1">
      <x:alignment horizontal="right" vertical="center"/>
    </x:xf>
    <x:xf numFmtId="208" fontId="4" fillId="3" borderId="0" xfId="0" applyNumberFormat="1" applyFont="1" applyFill="1" applyBorder="1" applyAlignment="1">
      <x:alignment horizontal="right" vertical="center" wrapText="1"/>
    </x:xf>
    <x:xf numFmtId="207" fontId="4" fillId="3" borderId="0" xfId="0" applyNumberFormat="1" applyFont="1" applyFill="1" applyBorder="1" applyAlignment="1">
      <x:alignment horizontal="right" vertical="center" wrapText="1"/>
    </x:xf>
    <x:xf numFmtId="205" fontId="4" fillId="3" borderId="0" xfId="0" applyNumberFormat="1" applyFont="1" applyFill="1" applyBorder="1" applyAlignment="1">
      <x:alignment horizontal="right" vertical="center" wrapText="1"/>
    </x:xf>
    <x:xf numFmtId="208" fontId="4" fillId="3" borderId="0" xfId="0" applyNumberFormat="1" applyFont="1" applyFill="1" applyBorder="1" applyAlignment="1">
      <x:alignment horizontal="center" vertical="center" wrapText="1"/>
    </x:xf>
    <x:xf numFmtId="207" fontId="4" fillId="3" borderId="0" xfId="0" applyNumberFormat="1" applyFont="1" applyFill="1" applyBorder="1" applyAlignment="1">
      <x:alignment horizontal="center" vertical="center" wrapText="1"/>
    </x:xf>
    <x:xf numFmtId="205" fontId="4" fillId="3" borderId="0" xfId="0" applyNumberFormat="1" applyFont="1" applyFill="1" applyBorder="1" applyAlignment="1">
      <x:alignment horizontal="center" vertical="center" wrapText="1"/>
    </x:xf>
    <x:xf numFmtId="211" fontId="4" fillId="3" borderId="0" xfId="0" applyNumberFormat="1" applyFont="1" applyFill="1" applyBorder="1" applyAlignment="1">
      <x:alignment horizontal="center" vertical="center" wrapText="1"/>
    </x:xf>
    <x:xf numFmtId="211" fontId="1" fillId="2" borderId="0" xfId="0" applyNumberFormat="1" applyFont="1" applyFill="1" applyBorder="1" applyAlignment="1">
      <x:alignment horizontal="right" vertical="center"/>
    </x:xf>
    <x:xf numFmtId="200" fontId="6" fillId="2" borderId="0" xfId="0" applyNumberFormat="1" applyFont="1" applyFill="1" applyBorder="1" applyAlignment="1">
      <x:alignment vertical="center"/>
    </x:xf>
    <x:xf numFmtId="212" fontId="6" fillId="2" borderId="0" xfId="0" applyNumberFormat="1" applyFont="1" applyFill="1" applyBorder="1" applyAlignment="1">
      <x:alignment vertical="center"/>
    </x:xf>
    <x:xf numFmtId="212" fontId="6" fillId="2" borderId="0" xfId="0" applyNumberFormat="1" applyFont="1" applyFill="1" applyBorder="1" applyAlignment="1">
      <x:alignment horizontal="right" vertical="center"/>
    </x:xf>
    <x:xf numFmtId="205" fontId="6" fillId="2" borderId="0" xfId="0" applyNumberFormat="1" applyFont="1" applyFill="1" applyBorder="1" applyAlignment="1">
      <x:alignment vertical="center"/>
    </x:xf>
    <x:xf numFmtId="205" fontId="6" fillId="2" borderId="0" xfId="0" applyNumberFormat="1" applyFont="1" applyFill="1" applyBorder="1" applyAlignment="1">
      <x:alignment horizontal="right" vertical="center"/>
    </x:xf>
    <x:xf numFmtId="204" fontId="6" fillId="2" borderId="0" xfId="0" applyNumberFormat="1" applyFont="1" applyFill="1" applyBorder="1" applyAlignment="1">
      <x:alignment vertical="center"/>
    </x:xf>
    <x:xf numFmtId="204" fontId="6" fillId="2" borderId="0" xfId="0" applyNumberFormat="1" applyFont="1" applyFill="1" applyBorder="1" applyAlignment="1">
      <x:alignment horizontal="right" vertical="center"/>
    </x:xf>
    <x:xf numFmtId="202" fontId="6" fillId="2" borderId="0" xfId="0" applyNumberFormat="1" applyFont="1" applyFill="1" applyBorder="1" applyAlignment="1">
      <x:alignment vertical="center"/>
    </x:xf>
    <x:xf numFmtId="202" fontId="6" fillId="2" borderId="0" xfId="0" applyNumberFormat="1" applyFont="1" applyFill="1" applyBorder="1" applyAlignment="1">
      <x:alignment horizontal="right" vertical="center"/>
    </x:xf>
    <x:xf numFmtId="201" fontId="6" fillId="2" borderId="0" xfId="0" applyNumberFormat="1" applyFont="1" applyFill="1" applyBorder="1" applyAlignment="1">
      <x:alignment vertical="center"/>
    </x:xf>
    <x:xf numFmtId="201" fontId="6" fillId="2" borderId="0" xfId="0" applyNumberFormat="1" applyFont="1" applyFill="1" applyBorder="1" applyAlignment="1">
      <x:alignment horizontal="right" vertical="center"/>
    </x:xf>
    <x:xf numFmtId="200" fontId="7" fillId="2" borderId="0" xfId="0" applyNumberFormat="1" applyFont="1" applyFill="1" applyBorder="1" applyAlignment="1">
      <x:alignment vertical="center"/>
    </x:xf>
    <x:xf numFmtId="204" fontId="7" fillId="2" borderId="0" xfId="0" applyNumberFormat="1" applyFont="1" applyFill="1" applyBorder="1" applyAlignment="1">
      <x:alignment vertical="center"/>
    </x:xf>
    <x:xf numFmtId="204" fontId="7" fillId="2" borderId="0" xfId="0" applyNumberFormat="1" applyFont="1" applyFill="1" applyBorder="1" applyAlignment="1">
      <x:alignment horizontal="right" vertical="center"/>
    </x:xf>
    <x:xf numFmtId="208" fontId="6" fillId="2" borderId="0" xfId="0" applyNumberFormat="1" applyFont="1" applyFill="1" applyBorder="1" applyAlignment="1">
      <x:alignment vertical="center"/>
    </x:xf>
    <x:xf numFmtId="208" fontId="6" fillId="2" borderId="0" xfId="0" applyNumberFormat="1" applyFont="1" applyFill="1" applyBorder="1" applyAlignment="1">
      <x:alignment horizontal="right" vertical="center"/>
    </x:xf>
    <x:xf numFmtId="210" fontId="6" fillId="2" borderId="0" xfId="0" applyNumberFormat="1" applyFont="1" applyFill="1" applyBorder="1" applyAlignment="1">
      <x:alignment vertical="center"/>
    </x:xf>
    <x:xf numFmtId="210" fontId="6" fillId="2" borderId="0" xfId="0" applyNumberFormat="1" applyFont="1" applyFill="1" applyBorder="1" applyAlignment="1">
      <x:alignment horizontal="right" vertical="center"/>
    </x:xf>
    <x:xf numFmtId="209" fontId="6" fillId="2" borderId="0" xfId="0" applyNumberFormat="1" applyFont="1" applyFill="1" applyBorder="1" applyAlignment="1">
      <x:alignment vertical="center"/>
    </x:xf>
    <x:xf numFmtId="209" fontId="6" fillId="2" borderId="0" xfId="0" applyNumberFormat="1" applyFont="1" applyFill="1" applyBorder="1" applyAlignment="1">
      <x:alignment horizontal="right" vertical="center"/>
    </x:xf>
    <x:xf numFmtId="213" fontId="7" fillId="2" borderId="0" xfId="0" applyNumberFormat="1" applyFont="1" applyFill="1" applyBorder="1" applyAlignment="1">
      <x:alignment vertical="center"/>
    </x:xf>
    <x:xf numFmtId="213" fontId="7" fillId="2" borderId="0" xfId="0" applyNumberFormat="1" applyFont="1" applyFill="1" applyBorder="1" applyAlignment="1">
      <x:alignment horizontal="right" vertical="center"/>
    </x:xf>
    <x:xf numFmtId="213" fontId="6" fillId="2" borderId="0" xfId="0" applyNumberFormat="1" applyFont="1" applyFill="1" applyBorder="1" applyAlignment="1">
      <x:alignment vertical="center"/>
    </x:xf>
    <x:xf numFmtId="213" fontId="6" fillId="2" borderId="0" xfId="0" applyNumberFormat="1" applyFont="1" applyFill="1" applyBorder="1" applyAlignment="1">
      <x:alignment horizontal="right" vertical="center"/>
    </x:xf>
    <x:xf numFmtId="200" fontId="8" fillId="2" borderId="0" xfId="0" applyNumberFormat="1" applyFont="1" applyFill="1" applyBorder="1" applyAlignment="1">
      <x:alignment vertical="center"/>
    </x:xf>
    <x:xf numFmtId="213" fontId="8" fillId="2" borderId="0" xfId="0" applyNumberFormat="1" applyFont="1" applyFill="1" applyBorder="1" applyAlignment="1">
      <x:alignment vertical="center"/>
    </x:xf>
    <x:xf numFmtId="213" fontId="8" fillId="2" borderId="0" xfId="0" applyNumberFormat="1" applyFont="1" applyFill="1" applyBorder="1" applyAlignment="1">
      <x:alignment horizontal="right" vertical="center"/>
    </x:xf>
    <x:xf numFmtId="212" fontId="6" fillId="3" borderId="0" xfId="0" applyNumberFormat="1" applyFont="1" applyFill="1" applyBorder="1" applyAlignment="1">
      <x:alignment horizontal="right" vertical="center"/>
    </x:xf>
    <x:xf numFmtId="212" fontId="4" fillId="3" borderId="0" xfId="0" applyNumberFormat="1" applyFont="1" applyFill="1" applyBorder="1" applyAlignment="1">
      <x:alignment horizontal="right" vertical="center"/>
    </x:xf>
    <x:xf numFmtId="212" fontId="4" fillId="3" borderId="0" xfId="0" applyNumberFormat="1" applyFont="1" applyFill="1" applyBorder="1" applyAlignment="1">
      <x:alignment horizontal="right" vertical="center" wrapText="1"/>
    </x:xf>
    <x:xf numFmtId="212" fontId="4" fillId="3" borderId="0" xfId="0" applyNumberFormat="1" applyFont="1" applyFill="1" applyBorder="1" applyAlignment="1">
      <x:alignment horizontal="center" vertical="center" wrapText="1"/>
    </x:xf>
    <x:xf numFmtId="201" fontId="3" fillId="2" borderId="0" xfId="0" applyNumberFormat="1" applyFont="1" applyFill="1" applyBorder="1" applyAlignment="1">
      <x:alignment horizontal="lef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horizontal="left" vertical="center" wrapText="1"/>
    </x:xf>
    <x:xf numFmtId="204" fontId="8" fillId="2" borderId="0" xfId="0" applyNumberFormat="1" applyFont="1" applyFill="1" applyBorder="1" applyAlignment="1">
      <x:alignment vertical="center"/>
    </x:xf>
    <x:xf numFmtId="204" fontId="8" fillId="2" borderId="0" xfId="0" applyNumberFormat="1" applyFont="1" applyFill="1" applyBorder="1" applyAlignment="1">
      <x:alignment horizontal="right" vertical="center"/>
    </x:xf>
    <x:xf numFmtId="203" fontId="1" fillId="2" borderId="0" xfId="0" applyNumberFormat="1" applyFont="1" applyFill="1" applyBorder="1" applyAlignment="1">
      <x:alignment horizontal="left" vertical="center"/>
    </x:xf>
    <x:xf numFmtId="203" fontId="7" fillId="2" borderId="0" xfId="0" applyNumberFormat="1" applyFont="1" applyFill="1" applyBorder="1" applyAlignment="1">
      <x:alignment vertical="center"/>
    </x:xf>
    <x:xf numFmtId="203" fontId="7" fillId="2" borderId="0" xfId="0" applyNumberFormat="1" applyFont="1" applyFill="1" applyBorder="1" applyAlignment="1">
      <x:alignment horizontal="right" vertical="center"/>
    </x:xf>
    <x:xf numFmtId="205" fontId="8" fillId="2" borderId="0" xfId="0" applyNumberFormat="1" applyFont="1" applyFill="1" applyBorder="1" applyAlignment="1">
      <x:alignment vertical="center"/>
    </x:xf>
    <x:xf numFmtId="205" fontId="8" fillId="2" borderId="0" xfId="0" applyNumberFormat="1" applyFont="1" applyFill="1" applyBorder="1" applyAlignment="1">
      <x:alignment horizontal="right" vertical="center"/>
    </x:xf>
    <x:xf numFmtId="214" fontId="6" fillId="2" borderId="0" xfId="0" applyNumberFormat="1" applyFont="1" applyFill="1" applyBorder="1" applyAlignment="1">
      <x:alignment vertical="center"/>
    </x:xf>
    <x:xf numFmtId="214" fontId="6" fillId="2" borderId="0" xfId="0" applyNumberFormat="1" applyFont="1" applyFill="1" applyBorder="1" applyAlignment="1">
      <x:alignment horizontal="right" vertical="center"/>
    </x:xf>
    <x:xf numFmtId="214" fontId="8" fillId="2" borderId="0" xfId="0" applyNumberFormat="1" applyFont="1" applyFill="1" applyBorder="1" applyAlignment="1">
      <x:alignment vertical="center"/>
    </x:xf>
    <x:xf numFmtId="214" fontId="8" fillId="2" borderId="0" xfId="0" applyNumberFormat="1" applyFont="1" applyFill="1" applyBorder="1" applyAlignment="1">
      <x:alignment horizontal="right" vertical="center"/>
    </x:xf>
    <x:xf numFmtId="215" fontId="7" fillId="2" borderId="0" xfId="0" applyNumberFormat="1" applyFont="1" applyFill="1" applyBorder="1" applyAlignment="1">
      <x:alignment vertical="center"/>
    </x:xf>
    <x:xf numFmtId="215" fontId="7" fillId="2" borderId="0" xfId="0" applyNumberFormat="1" applyFont="1" applyFill="1" applyBorder="1" applyAlignment="1">
      <x:alignment horizontal="right" vertical="center"/>
    </x:xf>
    <x:xf numFmtId="205" fontId="7" fillId="2" borderId="0" xfId="0" applyNumberFormat="1" applyFont="1" applyFill="1" applyBorder="1" applyAlignment="1">
      <x:alignment vertical="center"/>
    </x:xf>
    <x:xf numFmtId="205" fontId="7" fillId="2" borderId="0" xfId="0" applyNumberFormat="1" applyFont="1" applyFill="1" applyBorder="1" applyAlignment="1">
      <x:alignment horizontal="right" vertical="center"/>
    </x:xf>
    <x:xf numFmtId="216" fontId="8" fillId="2" borderId="0" xfId="0" applyNumberFormat="1" applyFont="1" applyFill="1" applyBorder="1" applyAlignment="1">
      <x:alignment vertical="center"/>
    </x:xf>
    <x:xf numFmtId="216" fontId="8" fillId="2" borderId="0" xfId="0" applyNumberFormat="1" applyFont="1" applyFill="1" applyBorder="1" applyAlignment="1">
      <x:alignment horizontal="right" vertical="center"/>
    </x:xf>
    <x:xf numFmtId="202" fontId="7" fillId="2" borderId="0" xfId="0" applyNumberFormat="1" applyFont="1" applyFill="1" applyBorder="1" applyAlignment="1">
      <x:alignment vertical="center"/>
    </x:xf>
    <x:xf numFmtId="202" fontId="7" fillId="2" borderId="0" xfId="0" applyNumberFormat="1" applyFont="1" applyFill="1" applyBorder="1" applyAlignment="1">
      <x:alignment horizontal="right" vertical="center"/>
    </x:xf>
    <x:xf numFmtId="203" fontId="8" fillId="2" borderId="0" xfId="0" applyNumberFormat="1" applyFont="1" applyFill="1" applyBorder="1" applyAlignment="1">
      <x:alignment vertical="center"/>
    </x:xf>
    <x:xf numFmtId="203" fontId="8" fillId="2" borderId="0" xfId="0" applyNumberFormat="1" applyFont="1" applyFill="1" applyBorder="1" applyAlignment="1">
      <x:alignment horizontal="right" vertical="center"/>
    </x:xf>
    <x:xf numFmtId="201" fontId="2" fillId="2" borderId="0" xfId="0" applyNumberFormat="1" applyFont="1" applyFill="1" applyBorder="1" applyAlignment="1">
      <x:alignment horizontal="left" vertical="center"/>
    </x:xf>
    <x:xf numFmtId="201" fontId="2" fillId="2" borderId="0" xfId="0" applyNumberFormat="1" applyFont="1" applyFill="1" applyBorder="1" applyAlignment="1">
      <x:alignment horizontal="left" vertical="center" wrapText="1"/>
    </x:xf>
    <x:xf numFmtId="201" fontId="2" fillId="2" borderId="0" xfId="0" applyNumberFormat="1" applyFont="1" applyFill="1" applyBorder="1" applyAlignment="1">
      <x:alignment horizontal="left" vertical="center" wrapText="0"/>
    </x:xf>
    <x:xf numFmtId="217" fontId="6" fillId="2" borderId="0" xfId="0" applyNumberFormat="1" applyFont="1" applyFill="1" applyBorder="1" applyAlignment="1">
      <x:alignment vertical="center"/>
    </x:xf>
    <x:xf numFmtId="217" fontId="6" fillId="2" borderId="0" xfId="0" applyNumberFormat="1" applyFont="1" applyFill="1" applyBorder="1" applyAlignment="1">
      <x:alignment horizontal="right" vertical="center"/>
    </x:xf>
    <x:xf numFmtId="205" fontId="6" fillId="2" borderId="0" xfId="0" applyNumberFormat="1" applyFont="1" applyFill="1" applyBorder="1" applyAlignment="1">
      <x:alignment horizontal="right" vertical="center" wrapText="1"/>
    </x:xf>
    <x:xf numFmtId="217" fontId="6" fillId="2" borderId="0" xfId="0" applyNumberFormat="1" applyFont="1" applyFill="1" applyBorder="1" applyAlignment="1">
      <x:alignment horizontal="right" vertical="center" wrapText="1"/>
    </x:xf>
    <x:xf numFmtId="205" fontId="7" fillId="2" borderId="0" xfId="0" applyNumberFormat="1" applyFont="1" applyFill="1" applyBorder="1" applyAlignment="1">
      <x:alignment horizontal="right" vertical="center" wrapText="1"/>
    </x:xf>
    <x:xf numFmtId="204" fontId="8" fillId="2" borderId="0" xfId="0" applyNumberFormat="1" applyFont="1" applyFill="1" applyBorder="1" applyAlignment="1">
      <x:alignment horizontal="right" vertical="center" wrapText="1"/>
    </x:xf>
    <x:xf numFmtId="205" fontId="8" fillId="2" borderId="0" xfId="0" applyNumberFormat="1" applyFont="1" applyFill="1" applyBorder="1" applyAlignment="1">
      <x:alignment horizontal="right" vertical="center" wrapText="1"/>
    </x:xf>
    <x:xf numFmtId="209" fontId="7" fillId="2" borderId="0" xfId="0" applyNumberFormat="1" applyFont="1" applyFill="1" applyBorder="1" applyAlignment="1">
      <x:alignment vertical="center"/>
    </x:xf>
    <x:xf numFmtId="209" fontId="7" fillId="2" borderId="0" xfId="0" applyNumberFormat="1" applyFont="1" applyFill="1" applyBorder="1" applyAlignment="1">
      <x:alignment horizontal="right" vertical="center"/>
    </x:xf>
    <x:xf numFmtId="209" fontId="1" fillId="2" borderId="0" xfId="0" applyNumberFormat="1" applyFont="1" applyFill="1" applyBorder="1" applyAlignment="1">
      <x:alignment horizontal="left" vertical="center"/>
    </x:xf>
    <x:xf numFmtId="201" fontId="8" fillId="2" borderId="0" xfId="0" applyNumberFormat="1" applyFont="1" applyFill="1" applyBorder="1" applyAlignment="1">
      <x:alignment vertical="center"/>
    </x:xf>
    <x:xf numFmtId="201" fontId="8" fillId="2" borderId="0" xfId="0" applyNumberFormat="1" applyFont="1" applyFill="1" applyBorder="1" applyAlignment="1">
      <x:alignment horizontal="right" vertical="center"/>
    </x:xf>
    <x:xf numFmtId="200" fontId="9" fillId="2" borderId="0" xfId="0" applyNumberFormat="1" applyFont="1" applyFill="1" applyBorder="1" applyAlignment="1">
      <x:alignment vertical="center"/>
    </x:xf>
    <x:xf numFmtId="200" fontId="9" fillId="2" borderId="0" xfId="0" applyNumberFormat="1" applyFont="1" applyFill="1" applyBorder="1" applyAlignment="1">
      <x:alignment vertical="center" wrapText="1"/>
    </x:xf>
    <x:xf numFmtId="200" fontId="9" fillId="2" borderId="0" xfId="0" applyNumberFormat="1" applyFont="1" applyFill="1" applyBorder="1" applyAlignment="1">
      <x:alignment horizontal="left" vertical="center" wrapText="1"/>
    </x:xf>
    <x:xf numFmtId="200" fontId="9" fillId="2" borderId="0" xfId="0" applyNumberFormat="1" applyFont="1" applyFill="1" applyBorder="1" applyAlignment="1">
      <x:alignment horizontal="left" vertical="center" wrapText="0"/>
    </x:xf>
    <x:xf numFmtId="218" fontId="1" fillId="2" borderId="0" xfId="0" applyNumberFormat="1" applyFont="1" applyFill="1" applyBorder="1" applyAlignment="1">
      <x:alignment vertical="center"/>
    </x:xf>
    <x:xf numFmtId="211" fontId="1" fillId="2" borderId="0" xfId="0" applyNumberFormat="1" applyFont="1" applyFill="1" applyBorder="1" applyAlignment="1">
      <x:alignment vertical="center"/>
    </x:xf>
    <x:xf numFmtId="200" fontId="1" fillId="5" borderId="0" xfId="0" applyNumberFormat="1" applyFont="1" applyFill="1" applyBorder="1" applyAlignment="1">
      <x:alignment vertical="center"/>
    </x:xf>
    <x:xf numFmtId="218" fontId="1" fillId="5" borderId="0" xfId="0" applyNumberFormat="1" applyFont="1" applyFill="1" applyBorder="1" applyAlignment="1">
      <x:alignment vertical="center"/>
    </x:xf>
    <x:xf numFmtId="200" fontId="4" fillId="5" borderId="0" xfId="0" applyNumberFormat="1" applyFont="1" applyFill="1" applyBorder="1" applyAlignment="1">
      <x:alignment vertical="center"/>
    </x:xf>
    <x:xf numFmtId="218" fontId="4" fillId="5" borderId="0" xfId="0" applyNumberFormat="1" applyFont="1" applyFill="1" applyBorder="1" applyAlignment="1">
      <x:alignment vertical="center"/>
    </x:xf>
    <x:xf numFmtId="200" fontId="10" fillId="2" borderId="0" xfId="0" applyNumberFormat="1" applyFont="1" applyFill="1" applyBorder="1" applyAlignment="1">
      <x:alignment vertical="center"/>
    </x:xf>
    <x:xf numFmtId="200" fontId="10" fillId="2" borderId="0" xfId="0" applyNumberFormat="1" applyFont="1" applyFill="1" applyBorder="1" applyAlignment="1">
      <x:alignment vertical="center" wrapText="1"/>
    </x:xf>
    <x:xf numFmtId="200" fontId="10" fillId="2" borderId="0" xfId="0" applyNumberFormat="1" applyFont="1" applyFill="1" applyBorder="1" applyAlignment="1">
      <x:alignment horizontal="left" vertical="center" wrapText="1"/>
    </x:xf>
    <x:xf numFmtId="200" fontId="10" fillId="2" borderId="0" xfId="0" applyNumberFormat="1" applyFont="1" applyFill="1" applyBorder="1" applyAlignment="1">
      <x:alignment horizontal="left" vertical="center" wrapText="0"/>
    </x:xf>
    <x:xf numFmtId="205" fontId="5" fillId="2" borderId="0" xfId="0" applyNumberFormat="1" applyFont="1" applyFill="1" applyBorder="1" applyAlignment="1">
      <x:alignment horizontal="left" vertical="center" wrapText="1"/>
    </x:xf>
    <x:xf numFmtId="205" fontId="5" fillId="4" borderId="0" xfId="0" applyNumberFormat="1" applyFont="1" applyFill="1" applyBorder="1" applyAlignment="1">
      <x:alignment horizontal="left" vertical="center" wrapText="1"/>
    </x:xf>
    <x:xf numFmtId="205" fontId="5" fillId="4" borderId="0" xfId="0" applyNumberFormat="1" applyFont="1" applyFill="1" applyBorder="1" applyAlignment="1">
      <x:alignment horizontal="left" vertical="center" wrapText="0"/>
    </x:xf>
    <x:xf numFmtId="205" fontId="1" fillId="3" borderId="0" xfId="0" applyNumberFormat="1" applyFont="1" applyFill="1" applyBorder="1" applyAlignment="1">
      <x:alignment horizontal="left" vertical="center"/>
    </x:xf>
    <x:xf numFmtId="211" fontId="1" fillId="3" borderId="0" xfId="0" applyNumberFormat="1" applyFont="1" applyFill="1" applyBorder="1" applyAlignment="1">
      <x:alignment horizontal="right" vertical="center"/>
    </x:xf>
    <x:xf numFmtId="205" fontId="4" fillId="3" borderId="0" xfId="0" applyNumberFormat="1" applyFont="1" applyFill="1" applyBorder="1" applyAlignment="1">
      <x:alignment horizontal="left" vertical="center"/>
    </x:xf>
    <x:xf numFmtId="211" fontId="4" fillId="3" borderId="0" xfId="0" applyNumberFormat="1" applyFont="1" applyFill="1" applyBorder="1" applyAlignment="1">
      <x:alignment horizontal="right" vertical="center"/>
    </x:xf>
    <x:xf numFmtId="218" fontId="1" fillId="2" borderId="0" xfId="0" applyNumberFormat="1" applyFont="1" applyFill="1" applyBorder="1" applyAlignment="1">
      <x:alignment horizontal="right" vertical="center"/>
    </x:xf>
    <x:xf numFmtId="218" fontId="1" fillId="2" borderId="1" xfId="0" applyNumberFormat="1" applyFont="1" applyFill="1" applyBorder="1" applyAlignment="1">
      <x:alignment horizontal="right" vertical="center"/>
    </x:xf>
    <x:xf numFmtId="219" fontId="1" fillId="2" borderId="0" xfId="0" applyNumberFormat="1" applyFont="1" applyFill="1" applyBorder="1" applyAlignment="1">
      <x:alignment horizontal="right" vertical="center"/>
    </x:xf>
    <x:xf numFmtId="208" fontId="6" fillId="2" borderId="0" xfId="0" applyNumberFormat="1" applyFont="1" applyFill="1" applyBorder="1" applyAlignment="1">
      <x:alignment horizontal="right" vertical="center" wrapText="1"/>
    </x:xf>
    <x:xf numFmtId="208" fontId="7" fillId="2" borderId="0" xfId="0" applyNumberFormat="1" applyFont="1" applyFill="1" applyBorder="1" applyAlignment="1">
      <x:alignment horizontal="right" vertical="center" wrapText="1"/>
    </x:xf>
    <x:xf numFmtId="208" fontId="8" fillId="2" borderId="0" xfId="0" applyNumberFormat="1" applyFont="1" applyFill="1" applyBorder="1" applyAlignment="1">
      <x:alignment horizontal="right" vertical="center" wrapText="1"/>
    </x:xf>
    <x:xf numFmtId="208" fontId="1" fillId="2" borderId="0" xfId="0" applyNumberFormat="1" applyFont="1" applyFill="1" applyBorder="1" applyAlignment="1">
      <x:alignment vertical="center" wrapText="1"/>
    </x:xf>
    <x:xf numFmtId="220" fontId="6" fillId="2" borderId="0" xfId="0" applyNumberFormat="1" applyFont="1" applyFill="1" applyBorder="1" applyAlignment="1">
      <x:alignment horizontal="right" vertical="center" wrapText="1"/>
    </x:xf>
    <x:xf numFmtId="211" fontId="8" fillId="2" borderId="0" xfId="0" applyNumberFormat="1" applyFont="1" applyFill="1" applyBorder="1" applyAlignment="1">
      <x:alignment horizontal="right" vertical="center"/>
    </x:xf>
    <x:xf numFmtId="221" fontId="0" fillId="0" borderId="0" xfId="0" applyNumberFormat="1" applyFont="1" applyFill="1" applyBorder="1"/>
    <x:xf numFmtId="209" fontId="11" fillId="2" borderId="0" xfId="0" applyNumberFormat="1" applyFont="1" applyFill="1" applyBorder="1" applyAlignment="1">
      <x:alignment horizontal="right" vertical="center"/>
    </x:xf>
    <x:xf numFmtId="201" fontId="11" fillId="2" borderId="0" xfId="0" applyNumberFormat="1" applyFont="1" applyFill="1" applyBorder="1" applyAlignment="1">
      <x:alignment horizontal="left" vertical="center"/>
    </x:xf>
    <x:xf numFmtId="222" fontId="11" fillId="2" borderId="0" xfId="0" applyNumberFormat="1" applyFont="1" applyFill="1" applyBorder="1" applyAlignment="1">
      <x:alignment horizontal="right" vertical="center"/>
    </x:xf>
    <x:xf numFmtId="222" fontId="11" fillId="2" borderId="0" xfId="0" applyNumberFormat="1" applyFont="1" applyFill="1" applyBorder="1" applyAlignment="1">
      <x:alignment horizontal="left" vertical="center"/>
    </x:xf>
    <x:xf numFmtId="222" fontId="1" fillId="2" borderId="0"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3046a013ad431c" /><Relationship Type="http://schemas.openxmlformats.org/officeDocument/2006/relationships/theme" Target="/xl/theme/theme1.xml" Id="R5d7c243452fc4fb9" /><Relationship Type="http://schemas.openxmlformats.org/officeDocument/2006/relationships/sharedStrings" Target="/xl/sharedStrings.xml" Id="R073485b3f8f64cfe" /><Relationship Type="http://schemas.openxmlformats.org/officeDocument/2006/relationships/worksheet" Target="/xl/worksheets/sheet1.xml" Id="Rb75e9c58943c4ff6" /><Relationship Type="http://schemas.openxmlformats.org/officeDocument/2006/relationships/worksheet" Target="/xl/worksheets/sheet2.xml" Id="Rf7827e7f2d294228" /><Relationship Type="http://schemas.openxmlformats.org/officeDocument/2006/relationships/worksheet" Target="/xl/worksheets/sheet3.xml" Id="R0d90badffbb6477f" /><Relationship Type="http://schemas.openxmlformats.org/officeDocument/2006/relationships/worksheet" Target="/xl/worksheets/sheet4.xml" Id="Rb8a1907343904f71" /><Relationship Type="http://schemas.openxmlformats.org/officeDocument/2006/relationships/worksheet" Target="/xl/worksheets/sheet5.xml" Id="R4418c9911c8d465d" /><Relationship Type="http://schemas.openxmlformats.org/officeDocument/2006/relationships/worksheet" Target="/xl/worksheets/sheet6.xml" Id="R62baeb6553c84c27" /><Relationship Type="http://schemas.openxmlformats.org/officeDocument/2006/relationships/worksheet" Target="/xl/worksheets/sheet7.xml" Id="R2f30c72535f34003" /><Relationship Type="http://schemas.openxmlformats.org/officeDocument/2006/relationships/worksheet" Target="/xl/worksheets/sheet8.xml" Id="Rbd0612e5f02442a8" /><Relationship Type="http://schemas.openxmlformats.org/officeDocument/2006/relationships/worksheet" Target="/xl/worksheets/sheet9.xml" Id="R9fbfd63864d24bc0" /><Relationship Type="http://schemas.openxmlformats.org/officeDocument/2006/relationships/worksheet" Target="/xl/worksheets/sheet10.xml" Id="R0115f84fad6341a7" /><Relationship Type="http://schemas.openxmlformats.org/officeDocument/2006/relationships/worksheet" Target="/xl/worksheets/sheet11.xml" Id="R059a1070186b40c0" /><Relationship Type="http://schemas.openxmlformats.org/officeDocument/2006/relationships/worksheet" Target="/xl/worksheets/sheet12.xml" Id="R8a71dd81dce84ad8" /><Relationship Type="http://schemas.openxmlformats.org/officeDocument/2006/relationships/worksheet" Target="/xl/worksheets/sheet13.xml" Id="Red17154e4ea94033" /></Relationships>
</file>

<file path=xl/drawings/_rels/drawing1.xml.rels>&#65279;<?xml version="1.0" encoding="utf-8"?><Relationships xmlns="http://schemas.openxmlformats.org/package/2006/relationships"><Relationship Type="http://schemas.openxmlformats.org/officeDocument/2006/relationships/chart" Target="/xl/drawings/charts/chart1.xml" Id="Re4090c9848054b8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Revenue, actuals and forecast</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Revenue</c:v>
          </c:tx>
          <c:marker>
            <c:symbol val="none"/>
          </c:marker>
          <c:cat>
            <c:strRef>
              <c:f>'Forecast'!$B$37:$B$46</c:f>
              <c:strCache>
                <c:ptCount val="0"/>
              </c:strCache>
            </c:strRef>
          </c:cat>
          <c:val>
            <c:numRef>
              <c:f>'Forecast'!$C$37:$C$46</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a:t>
                </a:r>
              </a:p>
            </c:rich>
          </c:tx>
          <c:overlay val="0"/>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35</xdr:row>
      <xdr:rowOff>0</xdr:rowOff>
    </xdr:from>
    <xdr:to>
      <xdr:col>12</xdr:col>
      <xdr:colOff>0</xdr:colOff>
      <xdr:row>51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4090c9848054b8c"/>
        </a:graphicData>
      </a:graphic>
    </xdr:graphicFrame>
    <xdr:clientData/>
  </xdr:twoCellAnchor>
</xdr:wsDr>
</file>

<file path=xl/theme/theme1.xml><?xml version="1.0" encoding="utf-8"?>
<a:theme xmlns:a="http://schemas.openxmlformats.org/drawingml/2006/main" name="Research">
  <a:themeElements>
    <a:clrScheme name="Research">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Research">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f94ef3366c2e4789" /></Relationships>
</file>

<file path=xl/worksheets/sheet1.xml><?xml version="1.0" encoding="utf-8"?>
<x:worksheet xmlns:x="http://schemas.openxmlformats.org/spreadsheetml/2006/main">
  <x:sheetPr>
    <x:tabColor rgb="FF19384D"/>
  </x:sheetPr>
  <x:sheetViews>
    <x:sheetView showGridLines="0" workbookViewId="0"/>
  </x:sheetViews>
  <x:sheetFormatPr defaultRowHeight="15"/>
  <x:cols>
    <x:col min="1" max="1" width="3" hidden="0" customWidth="1"/>
    <x:col min="2" max="2" width="43" hidden="0" customWidth="1"/>
    <x:col min="3" max="3" width="20" hidden="0" customWidth="1"/>
    <x:col min="4" max="4" width="4" hidden="0" customWidth="1"/>
    <x:col min="5" max="5" width="43" hidden="0" customWidth="1"/>
    <x:col min="6" max="6" width="20" hidden="0" customWidth="1"/>
    <x:col min="7" max="7" width="14" hidden="0" customWidth="1"/>
  </x:cols>
  <x:sheetData>
    <x:row r="1" ht="23" customHeight="1">
      <x:c r="A1" s="4"/>
      <x:c r="B1" s="4"/>
      <x:c r="C1" s="4"/>
      <x:c r="D1" s="4"/>
      <x:c r="E1" s="4"/>
      <x:c r="F1" s="4"/>
      <x:c r="G1" s="4"/>
      <x:c r="H1" s="4"/>
      <x:c r="I1" s="4"/>
    </x:row>
    <x:row r="2" ht="35" customHeight="1">
      <x:c r="A2" s="4"/>
      <x:c r="B2" s="162" t="str">
        <x:v>Copart: Discounted Cash Flow Valuation</x:v>
      </x:c>
      <x:c r="C2" s="162"/>
      <x:c r="D2" s="162"/>
      <x:c r="E2" s="162"/>
      <x:c r="F2" s="162"/>
      <x:c r="G2" s="4"/>
      <x:c r="H2" s="4"/>
      <x:c r="I2" s="4"/>
    </x:row>
    <x:row r="3" ht="28" customHeight="1">
      <x:c r="A3" s="4"/>
      <x:c r="B3" s="23" t="str">
        <x:v>Valuation at the 5 August 2026 close. USD millions except per-share data.</x:v>
      </x:c>
      <x:c r="C3" s="23"/>
      <x:c r="D3" s="23"/>
      <x:c r="E3" s="23"/>
      <x:c r="F3" s="23"/>
      <x:c r="G3" s="4"/>
      <x:c r="H3" s="4"/>
      <x:c r="I3" s="4"/>
    </x:row>
    <x:row r="4" ht="23" customHeight="1">
      <x:c r="A4" s="4"/>
      <x:c r="B4" s="4"/>
      <x:c r="C4" s="4"/>
      <x:c r="D4" s="4"/>
      <x:c r="E4" s="4"/>
      <x:c r="F4" s="4"/>
      <x:c r="G4" s="4"/>
      <x:c r="H4" s="4"/>
      <x:c r="I4" s="4"/>
    </x:row>
    <x:row r="5" ht="25" customHeight="1">
      <x:c r="A5" s="4"/>
      <x:c r="B5" s="61" t="str">
        <x:v>Valuation</x:v>
      </x:c>
      <x:c r="C5" s="61"/>
      <x:c r="D5" s="4"/>
      <x:c r="E5" s="61" t="str">
        <x:v>Forecast and assumptions</x:v>
      </x:c>
      <x:c r="F5" s="61"/>
      <x:c r="G5" s="4"/>
      <x:c r="H5" s="4"/>
      <x:c r="I5" s="4"/>
    </x:row>
    <x:row r="6" ht="23" customHeight="1">
      <x:c r="A6" s="4"/>
      <x:c r="B6" s="4" t="str">
        <x:v>Reference share price</x:v>
      </x:c>
      <x:c r="C6" s="163" t="n">
        <x:f>'Assumptions'!C11</x:f>
        <x:v>28.91</x:v>
      </x:c>
      <x:c r="D6" s="4"/>
      <x:c r="E6" s="4" t="str">
        <x:v>WACC</x:v>
      </x:c>
      <x:c r="F6" s="44" t="n">
        <x:f>'WACC'!C20</x:f>
        <x:v>0.09324868735025951</x:v>
      </x:c>
      <x:c r="G6" s="4"/>
      <x:c r="H6" s="4"/>
      <x:c r="I6" s="4"/>
    </x:row>
    <x:row r="7" ht="23" customHeight="1">
      <x:c r="A7" s="4"/>
      <x:c r="B7" s="167" t="str">
        <x:v>Base value / share</x:v>
      </x:c>
      <x:c r="C7" s="168" t="n">
        <x:f>'DCF'!C17</x:f>
        <x:v>24.479288755801882</x:v>
      </x:c>
      <x:c r="D7" s="4"/>
      <x:c r="E7" s="4" t="str">
        <x:v>Perpetual growth</x:v>
      </x:c>
      <x:c r="F7" s="44" t="n">
        <x:f>'Assumptions'!C14</x:f>
        <x:v>0.0275</x:v>
      </x:c>
      <x:c r="G7" s="4"/>
      <x:c r="H7" s="4"/>
      <x:c r="I7" s="4"/>
    </x:row>
    <x:row r="8" ht="23" customHeight="1">
      <x:c r="A8" s="4"/>
      <x:c r="B8" s="4" t="str">
        <x:v>Downside value / share</x:v>
      </x:c>
      <x:c r="C8" s="163" t="n">
        <x:f>'Scenarios'!D48</x:f>
        <x:v>20.278598161167995</x:v>
      </x:c>
      <x:c r="D8" s="4"/>
      <x:c r="E8" s="4" t="str">
        <x:v>Terminal value / enterprise value</x:v>
      </x:c>
      <x:c r="F8" s="164" t="n">
        <x:f>'DCF'!C20</x:f>
        <x:v>0.792908180355261</x:v>
      </x:c>
      <x:c r="G8" s="4"/>
      <x:c r="H8" s="4"/>
      <x:c r="I8" s="4"/>
    </x:row>
    <x:row r="9" ht="23" customHeight="1">
      <x:c r="A9" s="4"/>
      <x:c r="B9" s="4" t="str">
        <x:v>Upside value / share</x:v>
      </x:c>
      <x:c r="C9" s="163" t="n">
        <x:f>'Scenarios'!D49</x:f>
        <x:v>30.588331124247013</x:v>
      </x:c>
      <x:c r="D9" s="4"/>
      <x:c r="E9" s="4" t="str">
        <x:v>Final-year revenue</x:v>
      </x:c>
      <x:c r="F9" s="4" t="n">
        <x:f>'Scenarios'!F13</x:f>
        <x:v>5921.307712359746</x:v>
      </x:c>
      <x:c r="G9" s="4"/>
      <x:c r="H9" s="4"/>
      <x:c r="I9" s="4"/>
    </x:row>
    <x:row r="10" ht="23" customHeight="1">
      <x:c r="A10" s="4"/>
      <x:c r="B10" s="4" t="str">
        <x:v>Base upside / (downside)</x:v>
      </x:c>
      <x:c r="C10" s="164" t="n">
        <x:f>'DCF'!C19</x:f>
        <x:v>-0.1532587770390217</x:v>
      </x:c>
      <x:c r="D10" s="4"/>
      <x:c r="E10" s="4" t="str">
        <x:v>Final-year EBIT margin</x:v>
      </x:c>
      <x:c r="F10" s="164" t="n">
        <x:f>'Scenarios'!F21</x:f>
        <x:v>0.38118771125843504</x:v>
      </x:c>
      <x:c r="G10" s="4"/>
      <x:c r="H10" s="4"/>
      <x:c r="I10" s="4"/>
    </x:row>
    <x:row r="11" ht="23" customHeight="1">
      <x:c r="A11" s="4"/>
      <x:c r="B11" s="4" t="str">
        <x:v>Exit-multiple comparison</x:v>
      </x:c>
      <x:c r="C11" s="163" t="n">
        <x:f>'DCF'!E27</x:f>
        <x:v>24.479288755801882</x:v>
      </x:c>
      <x:c r="D11" s="4"/>
      <x:c r="E11" s="4" t="str">
        <x:v>Final-year FCFF</x:v>
      </x:c>
      <x:c r="F11" s="4" t="n">
        <x:f>'Scenarios'!F29</x:f>
        <x:v>1449.2247054483105</x:v>
      </x:c>
      <x:c r="G11" s="4"/>
      <x:c r="H11" s="4"/>
      <x:c r="I11" s="4"/>
    </x:row>
    <x:row r="12" ht="23" customHeight="1">
      <x:c r="A12" s="4"/>
      <x:c r="B12" s="4"/>
      <x:c r="C12" s="4"/>
      <x:c r="D12" s="4"/>
      <x:c r="E12" s="4"/>
      <x:c r="F12" s="4"/>
      <x:c r="G12" s="4"/>
      <x:c r="H12" s="4"/>
      <x:c r="I12" s="4"/>
    </x:row>
    <x:row r="13" ht="23" customHeight="1">
      <x:c r="A13" s="4"/>
      <x:c r="B13" s="4"/>
      <x:c r="C13" s="4"/>
      <x:c r="D13" s="4"/>
      <x:c r="E13" s="4"/>
      <x:c r="F13" s="4"/>
      <x:c r="G13" s="4"/>
      <x:c r="H13" s="4"/>
      <x:c r="I13" s="4"/>
    </x:row>
    <x:row r="14" ht="25" customHeight="1">
      <x:c r="A14" s="4"/>
      <x:c r="B14" s="61" t="str">
        <x:v>Valuation conclusion</x:v>
      </x:c>
      <x:c r="C14" s="61"/>
      <x:c r="D14" s="61"/>
      <x:c r="E14" s="61"/>
      <x:c r="F14" s="61"/>
      <x:c r="G14" s="4"/>
      <x:c r="H14" s="4"/>
      <x:c r="I14" s="4"/>
    </x:row>
    <x:row r="15" ht="24" customHeight="1">
      <x:c r="A15" s="4"/>
      <x:c r="B15" s="172" t="str">
        <x:v>The base forecast supports a value below the reference price. Continuing yard investment and modest cost leverage temper the</x:v>
      </x:c>
      <x:c r="C15" s="172"/>
      <x:c r="D15" s="172"/>
      <x:c r="E15" s="172"/>
      <x:c r="F15" s="172"/>
      <x:c r="G15" s="4"/>
      <x:c r="H15" s="4"/>
      <x:c r="I15" s="4"/>
    </x:row>
    <x:row r="16" ht="24" customHeight="1">
      <x:c r="A16" s="4"/>
      <x:c r="B16" s="172" t="str">
        <x:v>benefit of higher vehicle volumes and fees.</x:v>
      </x:c>
      <x:c r="C16" s="172"/>
      <x:c r="D16" s="172"/>
      <x:c r="E16" s="172"/>
      <x:c r="F16" s="172"/>
      <x:c r="G16" s="4"/>
      <x:c r="H16" s="4"/>
      <x:c r="I16" s="4"/>
    </x:row>
    <x:row r="17" ht="26" customHeight="1">
      <x:c r="A17" s="4"/>
      <x:c r="B17" s="172"/>
      <x:c r="C17" s="172"/>
      <x:c r="D17" s="172"/>
      <x:c r="E17" s="172"/>
      <x:c r="F17" s="172"/>
      <x:c r="G17" s="4"/>
      <x:c r="H17" s="4"/>
      <x:c r="I17" s="4"/>
    </x:row>
    <x:row r="18" ht="23" customHeight="1">
      <x:c r="A18" s="4"/>
      <x:c r="B18" s="4"/>
      <x:c r="C18" s="4"/>
      <x:c r="D18" s="4"/>
      <x:c r="E18" s="4"/>
      <x:c r="F18" s="4"/>
      <x:c r="G18" s="4"/>
      <x:c r="H18" s="4"/>
      <x:c r="I18" s="4"/>
    </x:row>
    <x:row r="19" ht="23" customHeight="1">
      <x:c r="A19" s="4"/>
      <x:c r="B19" s="4"/>
      <x:c r="C19" s="4"/>
      <x:c r="D19" s="4"/>
      <x:c r="E19" s="4"/>
      <x:c r="F19" s="4"/>
      <x:c r="G19" s="4"/>
      <x:c r="H19" s="4"/>
      <x:c r="I19" s="4"/>
    </x:row>
    <x:row r="20" ht="25" customHeight="1">
      <x:c r="A20" s="4"/>
      <x:c r="B20" s="61" t="str">
        <x:v>Material assumptions</x:v>
      </x:c>
      <x:c r="C20" s="61"/>
      <x:c r="D20" s="61"/>
      <x:c r="E20" s="61"/>
      <x:c r="F20" s="61"/>
      <x:c r="G20" s="4"/>
      <x:c r="H20" s="4"/>
      <x:c r="I20" s="4"/>
    </x:row>
    <x:row r="21" ht="24" customHeight="1">
      <x:c r="A21" s="4"/>
      <x:c r="B21" s="23" t="str">
        <x:v>Insurer vehicle share is a proxy for the service-revenue allocation. Base CapEx stays at or above 10% of revenue. FY2026 is</x:v>
      </x:c>
      <x:c r="C21" s="23"/>
      <x:c r="D21" s="23"/>
      <x:c r="E21" s="23"/>
      <x:c r="F21" s="23"/>
      <x:c r="G21" s="4"/>
      <x:c r="H21" s="4"/>
      <x:c r="I21" s="4"/>
    </x:row>
    <x:row r="22" ht="24" customHeight="1">
      <x:c r="A22" s="4"/>
      <x:c r="B22" s="23" t="str">
        <x:v>an estimated baseline and receives zero future PV. Company beta and cash availability remain estimates.</x:v>
      </x:c>
      <x:c r="C22" s="23"/>
      <x:c r="D22" s="23"/>
      <x:c r="E22" s="23"/>
      <x:c r="F22" s="23"/>
      <x:c r="G22" s="4"/>
      <x:c r="H22" s="4"/>
      <x:c r="I22" s="4"/>
    </x:row>
    <x:row r="23" ht="25" customHeight="1">
      <x:c r="A23" s="4"/>
      <x:c r="B23" s="23"/>
      <x:c r="C23" s="23"/>
      <x:c r="D23" s="23"/>
      <x:c r="E23" s="23"/>
      <x:c r="F23" s="23"/>
      <x:c r="G23" s="4"/>
      <x:c r="H23" s="4"/>
      <x:c r="I23" s="4"/>
    </x:row>
    <x:row r="24" ht="25" customHeight="1">
      <x:c r="A24" s="4"/>
      <x:c r="B24" s="23"/>
      <x:c r="C24" s="23"/>
      <x:c r="D24" s="23"/>
      <x:c r="E24" s="23"/>
      <x:c r="F24" s="23"/>
      <x:c r="G24" s="4"/>
      <x:c r="H24" s="4"/>
      <x:c r="I24" s="4"/>
    </x:row>
    <x:row r="25" ht="23" customHeight="1">
      <x:c r="A25" s="4"/>
      <x:c r="B25" s="4"/>
      <x:c r="C25" s="4"/>
      <x:c r="D25" s="4"/>
      <x:c r="E25" s="4"/>
      <x:c r="F25" s="4"/>
      <x:c r="G25" s="4"/>
      <x:c r="H25" s="4"/>
      <x:c r="I25" s="4"/>
    </x:row>
    <x:row r="26" ht="23" customHeight="1">
      <x:c r="A26" s="4"/>
      <x:c r="B26" s="4"/>
      <x:c r="C26" s="4"/>
      <x:c r="D26" s="4"/>
      <x:c r="E26" s="4"/>
      <x:c r="F26" s="4"/>
      <x:c r="G26" s="4"/>
      <x:c r="H26" s="4"/>
      <x:c r="I26" s="4"/>
    </x:row>
    <x:row r="27" ht="23" customHeight="1">
      <x:c r="A27" s="4"/>
      <x:c r="B27" s="4"/>
      <x:c r="C27" s="4"/>
      <x:c r="D27" s="4"/>
      <x:c r="E27" s="4"/>
      <x:c r="F27" s="4"/>
      <x:c r="G27" s="4"/>
      <x:c r="H27" s="4"/>
      <x:c r="I27" s="4"/>
    </x:row>
    <x:row r="28" ht="23" customHeight="1">
      <x:c r="A28" s="4"/>
      <x:c r="B28" s="4"/>
      <x:c r="C28" s="4"/>
      <x:c r="D28" s="4"/>
      <x:c r="E28" s="4"/>
      <x:c r="F28" s="4"/>
      <x:c r="G28" s="4"/>
      <x:c r="H28" s="4"/>
      <x:c r="I28" s="4"/>
    </x:row>
    <x:row r="29" ht="23" customHeight="1">
      <x:c r="A29"/>
      <x:c r="B29"/>
      <x:c r="C29"/>
      <x:c r="D29"/>
      <x:c r="E29"/>
      <x:c r="F29"/>
      <x:c r="G29"/>
    </x:row>
    <x:row r="30" ht="23" customHeight="1">
      <x:c r="A30"/>
      <x:c r="B30"/>
      <x:c r="C30"/>
      <x:c r="D30"/>
      <x:c r="E30"/>
      <x:c r="F30"/>
      <x:c r="G30"/>
    </x:row>
    <x:row r="31" ht="23" customHeight="1">
      <x:c r="A31"/>
      <x:c r="B31"/>
      <x:c r="C31"/>
      <x:c r="D31"/>
      <x:c r="E31"/>
      <x:c r="F31"/>
      <x:c r="G31"/>
    </x:row>
  </x:sheetData>
  <x:pageMargins left="0.7" right="0.7" top="0.75" bottom="0.75" header="0.3" footer="0.3"/>
</x:worksheet>
</file>

<file path=xl/worksheets/sheet2.xml><?xml version="1.0" encoding="utf-8"?>
<x:worksheet xmlns:x="http://schemas.openxmlformats.org/spreadsheetml/2006/main">
  <x:sheetPr>
    <x:tabColor rgb="FF19384D"/>
  </x:sheetPr>
  <x:sheetViews>
    <x:sheetView showGridLines="0" workbookViewId="0"/>
  </x:sheetViews>
  <x:sheetFormatPr defaultRowHeight="15"/>
  <x:cols>
    <x:col min="1" max="1" width="3" hidden="0" customWidth="1"/>
    <x:col min="2" max="2" width="43" hidden="0" customWidth="1"/>
    <x:col min="3" max="3" width="19" hidden="0" customWidth="1"/>
    <x:col min="4" max="4" width="19" hidden="0" customWidth="1"/>
    <x:col min="5" max="5" width="19" hidden="0" customWidth="1"/>
    <x:col min="6" max="6" width="19" hidden="0" customWidth="1"/>
    <x:col min="7" max="7" width="19" hidden="0" customWidth="1"/>
  </x:cols>
  <x:sheetData>
    <x:row r="1" ht="31" customHeight="1">
      <x:c r="A1" s="6"/>
      <x:c r="B1" s="19" t="str">
        <x:v>Discounted Cash Flow Valuation</x:v>
      </x:c>
      <x:c r="C1" s="19"/>
      <x:c r="D1" s="19"/>
      <x:c r="E1" s="19"/>
      <x:c r="F1" s="19"/>
      <x:c r="G1" s="19"/>
    </x:row>
    <x:row r="2" ht="34" customHeight="1">
      <x:c r="A2" s="7"/>
      <x:c r="B2" s="23" t="str">
        <x:v>Cash-flow valuation and its equivalent terminal EV/EBITDA.</x:v>
      </x:c>
      <x:c r="C2" s="23"/>
      <x:c r="D2" s="23"/>
      <x:c r="E2" s="23"/>
      <x:c r="F2" s="23"/>
      <x:c r="G2" s="23"/>
    </x:row>
    <x:row r="3" ht="23" customHeight="1">
      <x:c r="A3" s="4"/>
      <x:c r="B3" s="4"/>
      <x:c r="C3" s="4"/>
      <x:c r="D3" s="4"/>
      <x:c r="E3" s="4"/>
      <x:c r="F3" s="4"/>
      <x:c r="G3" s="4"/>
    </x:row>
    <x:row r="4" ht="23" customHeight="1">
      <x:c r="A4" s="4"/>
      <x:c r="B4" s="6" t="str">
        <x:v>Perpetual-Growth FCFF Valuation</x:v>
      </x:c>
      <x:c r="C4" s="4"/>
      <x:c r="D4" s="4"/>
      <x:c r="E4" s="4"/>
      <x:c r="F4" s="4"/>
      <x:c r="G4" s="4"/>
    </x:row>
    <x:row r="5" ht="36" customHeight="1">
      <x:c r="A5" s="4"/>
      <x:c r="B5" s="34" t="str">
        <x:v>Metric</x:v>
      </x:c>
      <x:c r="C5" s="34" t="str">
        <x:v>FY2026E baseline</x:v>
      </x:c>
      <x:c r="D5" s="34" t="str">
        <x:v>FY2027E</x:v>
      </x:c>
      <x:c r="E5" s="34" t="str">
        <x:v>FY2028E</x:v>
      </x:c>
      <x:c r="F5" s="34" t="str">
        <x:v>FY2029E</x:v>
      </x:c>
      <x:c r="G5" s="34" t="str">
        <x:v>FY2030E</x:v>
      </x:c>
    </x:row>
    <x:row r="6" ht="23" customHeight="1">
      <x:c r="A6" s="4"/>
      <x:c r="B6" s="6" t="str">
        <x:v>FCFF</x:v>
      </x:c>
      <x:c r="C6" s="13" t="n">
        <x:f>'Scenarios'!$B$29</x:f>
        <x:v>1068.8108248432002</x:v>
      </x:c>
      <x:c r="D6" s="13" t="n">
        <x:f>'Scenarios'!$C$29</x:f>
        <x:v>1142.7111471270043</x:v>
      </x:c>
      <x:c r="E6" s="13" t="n">
        <x:f>'Scenarios'!$D$29</x:f>
        <x:v>1265.6693980688906</x:v>
      </x:c>
      <x:c r="F6" s="13" t="n">
        <x:f>'Scenarios'!$E$29</x:f>
        <x:v>1357.8998061198124</x:v>
      </x:c>
      <x:c r="G6" s="13" t="n">
        <x:f>'Scenarios'!$F$29</x:f>
        <x:v>1449.2247054483105</x:v>
      </x:c>
    </x:row>
    <x:row r="7" ht="23" customHeight="1">
      <x:c r="A7" s="4"/>
      <x:c r="B7" s="6" t="str">
        <x:v>Future discount factor</x:v>
      </x:c>
      <x:c r="C7" s="41" t="n">
        <x:f>0</x:f>
        <x:v>0</x:v>
      </x:c>
      <x:c r="D7" s="41" t="n">
        <x:f>1/(1+'WACC'!$C$20)^'Scenarios'!C31</x:f>
        <x:v>0.9158227595996598</x:v>
      </x:c>
      <x:c r="E7" s="41" t="n">
        <x:f>1/(1+'WACC'!$C$20)^'Scenarios'!D31</x:f>
        <x:v>0.8375030325929058</x:v>
      </x:c>
      <x:c r="F7" s="41" t="n">
        <x:f>1/(1+'WACC'!$C$20)^'Scenarios'!E31</x:f>
        <x:v>0.7660681803540854</x:v>
      </x:c>
      <x:c r="G7" s="41" t="n">
        <x:f>1/(1+'WACC'!$C$20)^'Scenarios'!F31</x:f>
        <x:v>0.7007263664874168</x:v>
      </x:c>
    </x:row>
    <x:row r="8" ht="23" customHeight="1">
      <x:c r="A8" s="4"/>
      <x:c r="B8" s="6" t="str">
        <x:v>PV of FCFF</x:v>
      </x:c>
      <x:c r="C8" s="13" t="n">
        <x:f>C6*C7</x:f>
        <x:v>0</x:v>
      </x:c>
      <x:c r="D8" s="13" t="n">
        <x:f>D6*D7*'Scenarios'!C33</x:f>
        <x:v>1032.1849737736234</x:v>
      </x:c>
      <x:c r="E8" s="13" t="n">
        <x:f>E6*E7*'Scenarios'!D33</x:f>
        <x:v>1060.0019591427335</x:v>
      </x:c>
      <x:c r="F8" s="13" t="n">
        <x:f>F6*F7*'Scenarios'!E33</x:f>
        <x:v>1040.24383357737</x:v>
      </x:c>
      <x:c r="G8" s="13" t="n">
        <x:f>G6*G7*'Scenarios'!F33</x:f>
        <x:v>1015.5099620725915</x:v>
      </x:c>
    </x:row>
    <x:row r="9" ht="23" customHeight="1">
      <x:c r="A9" s="4"/>
      <x:c r="B9" s="6" t="str">
        <x:v>WACC</x:v>
      </x:c>
      <x:c r="C9" s="45" t="n">
        <x:f>'WACC'!$C$20</x:f>
        <x:v>0.09324868735025951</x:v>
      </x:c>
      <x:c r="D9" s="4"/>
      <x:c r="E9" s="4"/>
      <x:c r="F9" s="4"/>
      <x:c r="G9" s="4"/>
    </x:row>
    <x:row r="10" ht="23" customHeight="1">
      <x:c r="A10" s="4"/>
      <x:c r="B10" s="6" t="str">
        <x:v>Terminal growth</x:v>
      </x:c>
      <x:c r="C10" s="45" t="n">
        <x:f>'Assumptions'!$C$14</x:f>
        <x:v>0.0275</x:v>
      </x:c>
      <x:c r="D10" s="4"/>
      <x:c r="E10" s="4"/>
      <x:c r="F10" s="4"/>
      <x:c r="G10" s="4"/>
    </x:row>
    <x:row r="11" ht="23" customHeight="1">
      <x:c r="A11" s="4"/>
      <x:c r="B11" s="6" t="str">
        <x:v>Terminal value</x:v>
      </x:c>
      <x:c r="C11" s="13" t="n">
        <x:f>IF(C9&gt;C10,'Scenarios'!B43/(C9-C10),"INPUT REQUIRED: WACC must exceed growth")</x:f>
        <x:v>22664.39012475075</x:v>
      </x:c>
      <x:c r="D11" s="4"/>
      <x:c r="E11" s="4"/>
      <x:c r="F11" s="4"/>
      <x:c r="G11" s="4"/>
    </x:row>
    <x:row r="12" ht="23" customHeight="1">
      <x:c r="A12" s="4"/>
      <x:c r="B12" s="6" t="str">
        <x:v>PV of terminal value</x:v>
      </x:c>
      <x:c r="C12" s="13" t="n">
        <x:f>C11*G7</x:f>
        <x:v>15881.535740769885</x:v>
      </x:c>
      <x:c r="D12" s="4"/>
      <x:c r="E12" s="4"/>
      <x:c r="F12" s="4"/>
      <x:c r="G12" s="4"/>
    </x:row>
    <x:row r="13" ht="23" customHeight="1">
      <x:c r="A13" s="4"/>
      <x:c r="B13" s="6" t="str">
        <x:v>Enterprise value</x:v>
      </x:c>
      <x:c r="C13" s="13" t="n">
        <x:f>SUM(C8:G8)+C12</x:f>
        <x:v>20029.4764693362</x:v>
      </x:c>
      <x:c r="D13" s="4"/>
      <x:c r="E13" s="4"/>
      <x:c r="F13" s="4"/>
      <x:c r="G13" s="4"/>
    </x:row>
    <x:row r="14" ht="28" customHeight="1">
      <x:c r="A14" s="4"/>
      <x:c r="B14" s="7" t="str">
        <x:v>Cash after reserve less debt/minority</x:v>
      </x:c>
      <x:c r="C14" s="13" t="n">
        <x:f>'Scenarios'!$B$38-'Assumptions'!$C$9-'Assumptions'!$G$14-'Assumptions'!$G$15</x:f>
        <x:v>2792.2824852500003</x:v>
      </x:c>
      <x:c r="D14" s="4"/>
      <x:c r="E14" s="4"/>
      <x:c r="F14" s="4"/>
      <x:c r="G14" s="4"/>
    </x:row>
    <x:row r="15" ht="23" customHeight="1">
      <x:c r="A15" s="4"/>
      <x:c r="B15" s="6" t="str">
        <x:v>Equity value</x:v>
      </x:c>
      <x:c r="C15" s="13" t="n">
        <x:f>C13+C14</x:f>
        <x:v>22821.758954586203</x:v>
      </x:c>
      <x:c r="D15" s="4"/>
      <x:c r="E15" s="4"/>
      <x:c r="F15" s="4"/>
      <x:c r="G15" s="4"/>
    </x:row>
    <x:row r="16" ht="23" customHeight="1">
      <x:c r="A16" s="4"/>
      <x:c r="B16" s="6" t="str">
        <x:v>Diluted shares</x:v>
      </x:c>
      <x:c r="C16" s="13" t="n">
        <x:f>'Assumptions'!$C$12</x:f>
        <x:v>932.2884819999999</x:v>
      </x:c>
      <x:c r="D16" s="4"/>
      <x:c r="E16" s="4"/>
      <x:c r="F16" s="4"/>
      <x:c r="G16" s="4"/>
    </x:row>
    <x:row r="17" ht="23" customHeight="1">
      <x:c r="A17" s="4"/>
      <x:c r="B17" s="6" t="str">
        <x:v>Implied value / share</x:v>
      </x:c>
      <x:c r="C17" s="9" t="n">
        <x:f>C15/C16</x:f>
        <x:v>24.479288755801882</x:v>
      </x:c>
      <x:c r="D17" s="4"/>
      <x:c r="E17" s="4"/>
      <x:c r="F17" s="4"/>
      <x:c r="G17" s="4"/>
    </x:row>
    <x:row r="18" ht="23" customHeight="1">
      <x:c r="A18" s="4"/>
      <x:c r="B18" s="6" t="str">
        <x:v>Current market price</x:v>
      </x:c>
      <x:c r="C18" s="9" t="n">
        <x:f>'Assumptions'!$C$11</x:f>
        <x:v>28.91</x:v>
      </x:c>
      <x:c r="D18" s="4"/>
      <x:c r="E18" s="4"/>
      <x:c r="F18" s="4"/>
      <x:c r="G18" s="4"/>
    </x:row>
    <x:row r="19" ht="23" customHeight="1">
      <x:c r="A19" s="4"/>
      <x:c r="B19" s="6" t="str">
        <x:v>Upside / (downside)</x:v>
      </x:c>
      <x:c r="C19" s="11" t="n">
        <x:f>C17/C18-1</x:f>
        <x:v>-0.1532587770390217</x:v>
      </x:c>
      <x:c r="D19" s="4"/>
      <x:c r="E19" s="4"/>
      <x:c r="F19" s="4"/>
      <x:c r="G19" s="4"/>
    </x:row>
    <x:row r="20" ht="23" customHeight="1">
      <x:c r="A20" s="4"/>
      <x:c r="B20" s="6" t="str">
        <x:v>PV terminal value / EV</x:v>
      </x:c>
      <x:c r="C20" s="11" t="n">
        <x:f>C12/C13</x:f>
        <x:v>0.792908180355261</x:v>
      </x:c>
      <x:c r="D20" s="4"/>
      <x:c r="E20" s="4"/>
      <x:c r="F20" s="4"/>
      <x:c r="G20" s="4"/>
    </x:row>
    <x:row r="21" ht="23" customHeight="1">
      <x:c r="A21" s="4"/>
      <x:c r="B21" s="6" t="str">
        <x:v>FY2027 remaining cash-flow share</x:v>
      </x:c>
      <x:c r="C21" s="15" t="n">
        <x:f>'Scenarios'!C33</x:f>
        <x:v>0.9863013698630136</x:v>
      </x:c>
      <x:c r="D21" s="4"/>
      <x:c r="E21" s="4"/>
      <x:c r="F21" s="4"/>
      <x:c r="G21" s="4"/>
    </x:row>
    <x:row r="22" ht="23" customHeight="1">
      <x:c r="A22" s="4"/>
      <x:c r="B22" s="4"/>
      <x:c r="C22" s="4"/>
      <x:c r="D22" s="4"/>
      <x:c r="E22" s="4"/>
      <x:c r="F22" s="4"/>
      <x:c r="G22" s="4"/>
    </x:row>
    <x:row r="23" ht="25" customHeight="1">
      <x:c r="A23" s="4"/>
      <x:c r="B23" s="60" t="str">
        <x:v>Terminal Multiple Reconciliation</x:v>
      </x:c>
      <x:c r="C23" s="61"/>
      <x:c r="D23" s="4"/>
      <x:c r="E23" s="4"/>
      <x:c r="F23" s="4"/>
      <x:c r="G23" s="4"/>
    </x:row>
    <x:row r="24" ht="44" customHeight="1">
      <x:c r="A24" s="4"/>
      <x:c r="B24" s="6" t="str">
        <x:v>FY2030E EBITDA</x:v>
      </x:c>
      <x:c r="C24" s="13" t="n">
        <x:f>'Scenarios'!$F$30</x:f>
        <x:v>2517.6672738751604</x:v>
      </x:c>
      <x:c r="D24" s="62" t="str">
        <x:v>  Implied EV / EBITDA</x:v>
      </x:c>
      <x:c r="E24" s="194" t="n">
        <x:f>'Assumptions'!$C$15</x:f>
        <x:v>9.00213874959975</x:v>
      </x:c>
      <x:c r="F24" s="62" t="str">
        <x:v>  PV of explicit FCFF</x:v>
      </x:c>
      <x:c r="G24" s="64" t="n">
        <x:f>SUM(C8:G8)</x:f>
        <x:v>4147.940728566318</x:v>
      </x:c>
    </x:row>
    <x:row r="25" ht="44" customHeight="1">
      <x:c r="A25" s="4"/>
      <x:c r="B25" s="6" t="str">
        <x:v>Terminal enterprise value</x:v>
      </x:c>
      <x:c r="C25" s="13" t="n">
        <x:f>C24*E24</x:f>
        <x:v>22664.390124750746</x:v>
      </x:c>
      <x:c r="D25" s="62" t="str">
        <x:v>  Discount factor FY2030E</x:v>
      </x:c>
      <x:c r="E25" s="65" t="n">
        <x:f>G7</x:f>
        <x:v>0.7007263664874168</x:v>
      </x:c>
      <x:c r="F25" s="62" t="str">
        <x:v>  PV of exit terminal value</x:v>
      </x:c>
      <x:c r="G25" s="64" t="n">
        <x:f>C25*E25</x:f>
        <x:v>15881.535740769881</x:v>
      </x:c>
    </x:row>
    <x:row r="26" ht="44" customHeight="1">
      <x:c r="A26" s="4"/>
      <x:c r="B26" s="6" t="str">
        <x:v>Enterprise value</x:v>
      </x:c>
      <x:c r="C26" s="13" t="n">
        <x:f>G24+G25</x:f>
        <x:v>20029.4764693362</x:v>
      </x:c>
      <x:c r="D26" s="62" t="str">
        <x:v>  Net cash / minority adjustment</x:v>
      </x:c>
      <x:c r="E26" s="64" t="n">
        <x:f>C14</x:f>
        <x:v>2792.2824852500003</x:v>
      </x:c>
      <x:c r="F26" s="62" t="str">
        <x:v>  Equity value</x:v>
      </x:c>
      <x:c r="G26" s="64" t="n">
        <x:f>C26+E26</x:f>
        <x:v>22821.758954586203</x:v>
      </x:c>
    </x:row>
    <x:row r="27" ht="44" customHeight="1">
      <x:c r="A27" s="4"/>
      <x:c r="B27" s="6" t="str">
        <x:v>Diluted shares</x:v>
      </x:c>
      <x:c r="C27" s="50" t="n">
        <x:f>C16</x:f>
        <x:v>932.2884819999999</x:v>
      </x:c>
      <x:c r="D27" s="7" t="str">
        <x:v>  Implied value / share</x:v>
      </x:c>
      <x:c r="E27" s="66" t="n">
        <x:f>G26/C27</x:f>
        <x:v>24.479288755801882</x:v>
      </x:c>
      <x:c r="F27" s="67" t="str">
        <x:v>  Current price</x:v>
      </x:c>
      <x:c r="G27" s="66" t="n">
        <x:f>C18</x:f>
        <x:v>28.91</x:v>
      </x:c>
    </x:row>
    <x:row r="28" ht="70" customHeight="1">
      <x:c r="A28" s="4"/>
      <x:c r="B28" s="6" t="str">
        <x:v>Upside / (downside)</x:v>
      </x:c>
      <x:c r="C28" s="11" t="n">
        <x:f>E27/G27-1</x:f>
        <x:v>-0.1532587770390217</x:v>
      </x:c>
      <x:c r="D28" s="7" t="str">
        <x:v>  Reconciliation</x:v>
      </x:c>
      <x:c r="E28" s="68" t="str">
        <x:f>IF(ABS(E27-C17)&lt;0.000001,"Reconciled","Check terminal assumptions")</x:f>
        <x:v>Reconciled</x:v>
      </x:c>
      <x:c r="F28" s="69"/>
      <x:c r="G28" s="69"/>
    </x:row>
    <x:row r="29" ht="23" customHeight="1">
      <x:c r="A29" s="4"/>
      <x:c r="B29" s="4"/>
      <x:c r="C29" s="4"/>
      <x:c r="D29" s="4"/>
      <x:c r="E29" s="4"/>
      <x:c r="F29" s="4"/>
      <x:c r="G29" s="4"/>
    </x:row>
    <x:row r="30" ht="24" customHeight="1">
      <x:c r="A30" s="4"/>
      <x:c r="B30" s="38" t="str">
        <x:v>The implied multiple uses the same growth and investment assumptions as the cash-flow valuation.</x:v>
      </x:c>
      <x:c r="C30" s="23"/>
      <x:c r="D30" s="23"/>
      <x:c r="E30" s="23"/>
      <x:c r="F30" s="23"/>
      <x:c r="G30" s="23"/>
    </x:row>
    <x:row r="31" ht="24" customHeight="1">
      <x:c r="A31" s="4"/>
      <x:c r="B31" s="39" t="str">
        <x:v>Peer operating data provide context; dated trading multiples remain unavailable.</x:v>
      </x:c>
      <x:c r="C31" s="4"/>
      <x:c r="D31" s="4"/>
      <x:c r="E31" s="4"/>
      <x:c r="F31" s="4"/>
      <x:c r="G31" s="4"/>
    </x:row>
    <x:row r="32" ht="23" customHeight="1">
      <x:c r="A32" s="4"/>
      <x:c r="B32" s="4"/>
      <x:c r="C32" s="4"/>
      <x:c r="D32" s="4"/>
      <x:c r="E32" s="4"/>
      <x:c r="F32" s="4"/>
      <x:c r="G32" s="4"/>
    </x:row>
    <x:row r="33" ht="23" customHeight="1">
      <x:c r="A33" s="4"/>
      <x:c r="B33" s="4"/>
      <x:c r="C33" s="4"/>
      <x:c r="D33" s="4"/>
      <x:c r="E33" s="4"/>
      <x:c r="F33" s="4"/>
      <x:c r="G33" s="4"/>
    </x:row>
  </x:sheetData>
  <x:pageMargins left="0.7" right="0.7" top="0.75" bottom="0.75" header="0.3" footer="0.3"/>
</x:worksheet>
</file>

<file path=xl/worksheets/sheet3.xml><?xml version="1.0" encoding="utf-8"?>
<x:worksheet xmlns:x="http://schemas.openxmlformats.org/spreadsheetml/2006/main">
  <x:sheetPr>
    <x:tabColor rgb="FF19384D"/>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1" customHeight="1">
      <x:c r="A1" s="6"/>
      <x:c r="B1" s="19" t="str">
        <x:v>Valuation Sensitivities</x:v>
      </x:c>
      <x:c r="C1" s="19"/>
      <x:c r="D1" s="19"/>
      <x:c r="E1" s="19"/>
      <x:c r="F1" s="19"/>
      <x:c r="G1" s="19"/>
      <x:c r="H1" s="19"/>
      <x:c r="I1" s="19"/>
      <x:c r="J1" s="19"/>
      <x:c r="K1" s="19"/>
      <x:c r="L1" s="19"/>
      <x:c r="M1" s="19"/>
      <x:c r="N1" s="19"/>
    </x:row>
    <x:row r="2" ht="24" customHeight="1">
      <x:c r="A2" s="7"/>
      <x:c r="B2" s="23" t="str">
        <x:v>Per-share values. The first grid changes WACC and growth throughout the valuation. Other grids hold the explicit forecast</x:v>
      </x:c>
      <x:c r="C2" s="23"/>
      <x:c r="D2" s="23"/>
      <x:c r="E2" s="23"/>
      <x:c r="F2" s="23"/>
      <x:c r="G2" s="23"/>
      <x:c r="H2" s="23"/>
      <x:c r="I2" s="23"/>
      <x:c r="J2" s="23"/>
      <x:c r="K2" s="23"/>
      <x:c r="L2" s="23"/>
      <x:c r="M2" s="23"/>
      <x:c r="N2" s="23"/>
    </x:row>
    <x:row r="3" ht="24" customHeight="1">
      <x:c r="A3" s="4"/>
      <x:c r="B3" s="39" t="str">
        <x:v>fixed.</x:v>
      </x:c>
      <x:c r="C3" s="4"/>
      <x:c r="D3" s="4"/>
      <x:c r="E3" s="4"/>
      <x:c r="F3" s="4"/>
      <x:c r="G3" s="4"/>
      <x:c r="H3" s="4"/>
      <x:c r="I3" s="4"/>
      <x:c r="J3" s="4"/>
      <x:c r="K3" s="4"/>
      <x:c r="L3" s="4"/>
      <x:c r="M3" s="4"/>
      <x:c r="N3" s="4"/>
    </x:row>
    <x:row r="4" ht="25" customHeight="1">
      <x:c r="A4" s="4"/>
      <x:c r="B4" s="60" t="str">
        <x:v>WACC vs Perpetual Growth, Full DCF Value / Share</x:v>
      </x:c>
      <x:c r="C4" s="61"/>
      <x:c r="D4" s="61"/>
      <x:c r="E4" s="61"/>
      <x:c r="F4" s="61"/>
      <x:c r="G4" s="61"/>
      <x:c r="H4" s="4"/>
      <x:c r="I4" s="7" t="str">
        <x:v>Terminal revenue change x EBIT margin</x:v>
      </x:c>
      <x:c r="J4" s="4"/>
      <x:c r="K4" s="4"/>
      <x:c r="L4" s="4"/>
      <x:c r="M4" s="4"/>
      <x:c r="N4" s="4"/>
    </x:row>
    <x:row r="5" ht="34" customHeight="1">
      <x:c r="A5" s="4"/>
      <x:c r="B5" s="34" t="str">
        <x:v>Terminal growth / WACC</x:v>
      </x:c>
      <x:c r="C5" s="82" t="n">
        <x:f>'WACC'!C20-0.01</x:f>
        <x:v>0.08324868735025952</x:v>
      </x:c>
      <x:c r="D5" s="82" t="n">
        <x:f>'WACC'!C20-0.005</x:f>
        <x:v>0.08824868735025951</x:v>
      </x:c>
      <x:c r="E5" s="82" t="n">
        <x:f>'WACC'!C20+0</x:f>
        <x:v>0.09324868735025951</x:v>
      </x:c>
      <x:c r="F5" s="82" t="n">
        <x:f>'WACC'!C20+0.005</x:f>
        <x:v>0.09824868735025952</x:v>
      </x:c>
      <x:c r="G5" s="82" t="n">
        <x:f>'WACC'!C20+0.01</x:f>
        <x:v>0.10324868735025951</x:v>
      </x:c>
      <x:c r="H5" s="36"/>
      <x:c r="I5" s="85" t="str">
        <x:v>Revenue-level change per year / margin</x:v>
      </x:c>
      <x:c r="J5" s="85" t="n">
        <x:v>0.37</x:v>
      </x:c>
      <x:c r="K5" s="85" t="n">
        <x:v>0.38</x:v>
      </x:c>
      <x:c r="L5" s="85" t="n">
        <x:v>0.39</x:v>
      </x:c>
      <x:c r="M5" s="85" t="n">
        <x:v>0.4</x:v>
      </x:c>
      <x:c r="N5" s="85" t="n">
        <x:v>0.41</x:v>
      </x:c>
    </x:row>
    <x:row r="6" ht="23" customHeight="1">
      <x:c r="A6" s="4"/>
      <x:c r="B6" s="45" t="n">
        <x:f>'Assumptions'!C14-0.01</x:f>
        <x:v>0.0175</x:v>
      </x:c>
      <x:c r="C6" s="180" t="n">
        <x:f>IF(C$5&gt;$B6,('Scenarios'!$C$29*'Scenarios'!$C$33/(1+C$5)^'Scenarios'!$C$31+'Scenarios'!$D$29/(1+C$5)^'Scenarios'!$D$31+'Scenarios'!$E$29/(1+C$5)^'Scenarios'!$E$31+'Scenarios'!$F$29/(1+C$5)^'Scenarios'!$F$31+(('Scenarios'!$F$28+'Scenarios'!$F$23-'Scenarios'!$F$24)*(1+$B6)-'Scenarios'!$F$13*$B6*'Assumptions'!$G$45)/(C$5-$B6)/(1+C$5)^'Scenarios'!$F$31+'Scenarios'!$B$38-'Assumptions'!$C$9-'Assumptions'!$G$14-'Assumptions'!$G$15)/'Assumptions'!$C$12,"n.a.")</x:f>
        <x:v>25.05158676809926</x:v>
      </x:c>
      <x:c r="D6" s="180" t="n">
        <x:f>IF(D$5&gt;$B6,('Scenarios'!$C$29*'Scenarios'!$C$33/(1+D$5)^'Scenarios'!$C$31+'Scenarios'!$D$29/(1+D$5)^'Scenarios'!$D$31+'Scenarios'!$E$29/(1+D$5)^'Scenarios'!$E$31+'Scenarios'!$F$29/(1+D$5)^'Scenarios'!$F$31+(('Scenarios'!$F$28+'Scenarios'!$F$23-'Scenarios'!$F$24)*(1+$B6)-'Scenarios'!$F$13*$B6*'Assumptions'!$G$45)/(D$5-$B6)/(1+D$5)^'Scenarios'!$F$31+'Scenarios'!$B$38-'Assumptions'!$C$9-'Assumptions'!$G$14-'Assumptions'!$G$15)/'Assumptions'!$C$12,"n.a.")</x:f>
        <x:v>23.466524222412463</x:v>
      </x:c>
      <x:c r="E6" s="180" t="n">
        <x:f>IF(E$5&gt;$B6,('Scenarios'!$C$29*'Scenarios'!$C$33/(1+E$5)^'Scenarios'!$C$31+'Scenarios'!$D$29/(1+E$5)^'Scenarios'!$D$31+'Scenarios'!$E$29/(1+E$5)^'Scenarios'!$E$31+'Scenarios'!$F$29/(1+E$5)^'Scenarios'!$F$31+(('Scenarios'!$F$28+'Scenarios'!$F$23-'Scenarios'!$F$24)*(1+$B6)-'Scenarios'!$F$13*$B6*'Assumptions'!$G$45)/(E$5-$B6)/(1+E$5)^'Scenarios'!$F$31+'Scenarios'!$B$38-'Assumptions'!$C$9-'Assumptions'!$G$14-'Assumptions'!$G$15)/'Assumptions'!$C$12,"n.a.")</x:f>
        <x:v>22.09107543044979</x:v>
      </x:c>
      <x:c r="F6" s="180" t="n">
        <x:f>IF(F$5&gt;$B6,('Scenarios'!$C$29*'Scenarios'!$C$33/(1+F$5)^'Scenarios'!$C$31+'Scenarios'!$D$29/(1+F$5)^'Scenarios'!$D$31+'Scenarios'!$E$29/(1+F$5)^'Scenarios'!$E$31+'Scenarios'!$F$29/(1+F$5)^'Scenarios'!$F$31+(('Scenarios'!$F$28+'Scenarios'!$F$23-'Scenarios'!$F$24)*(1+$B6)-'Scenarios'!$F$13*$B6*'Assumptions'!$G$45)/(F$5-$B6)/(1+F$5)^'Scenarios'!$F$31+'Scenarios'!$B$38-'Assumptions'!$C$9-'Assumptions'!$G$14-'Assumptions'!$G$15)/'Assumptions'!$C$12,"n.a.")</x:f>
        <x:v>20.886295478651103</x:v>
      </x:c>
      <x:c r="G6" s="180" t="n">
        <x:f>IF(G$5&gt;$B6,('Scenarios'!$C$29*'Scenarios'!$C$33/(1+G$5)^'Scenarios'!$C$31+'Scenarios'!$D$29/(1+G$5)^'Scenarios'!$D$31+'Scenarios'!$E$29/(1+G$5)^'Scenarios'!$E$31+'Scenarios'!$F$29/(1+G$5)^'Scenarios'!$F$31+(('Scenarios'!$F$28+'Scenarios'!$F$23-'Scenarios'!$F$24)*(1+$B6)-'Scenarios'!$F$13*$B6*'Assumptions'!$G$45)/(G$5-$B6)/(1+G$5)^'Scenarios'!$F$31+'Scenarios'!$B$38-'Assumptions'!$C$9-'Assumptions'!$G$14-'Assumptions'!$G$15)/'Assumptions'!$C$12,"n.a.")</x:f>
        <x:v>19.822323112318234</x:v>
      </x:c>
      <x:c r="H6" s="4"/>
      <x:c r="I6" s="15" t="n">
        <x:v>-0.02</x:v>
      </x:c>
      <x:c r="J6" s="9" t="n">
        <x:f>('DCF'!$G$24+((('Scenarios'!$F$13*(1+$I6)^4)*J$5*(1-'Assumptions'!$C$13)+'Scenarios'!$F$23-'Scenarios'!$F$24)*(1+'Assumptions'!$C$14)-('Scenarios'!$F$13*(1+$I6)^4)*'Assumptions'!$C$14*'Assumptions'!$G$45)/('WACC'!$C$20-'Assumptions'!$C$14)/(1+'WACC'!$C$20)^'Scenarios'!$F$31+'DCF'!$C$14)/'DCF'!$C$16</x:f>
        <x:v>22.28746030479866</x:v>
      </x:c>
      <x:c r="K6" s="9" t="n">
        <x:f>('DCF'!$G$24+((('Scenarios'!$F$13*(1+$I6)^4)*K$5*(1-'Assumptions'!$C$13)+'Scenarios'!$F$23-'Scenarios'!$F$24)*(1+'Assumptions'!$C$14)-('Scenarios'!$F$13*(1+$I6)^4)*'Assumptions'!$C$14*'Assumptions'!$G$45)/('WACC'!$C$20-'Assumptions'!$C$14)/(1+'WACC'!$C$20)^'Scenarios'!$F$31+'DCF'!$C$14)/'DCF'!$C$16</x:f>
        <x:v>22.79426649286366</x:v>
      </x:c>
      <x:c r="L6" s="9" t="n">
        <x:f>('DCF'!$G$24+((('Scenarios'!$F$13*(1+$I6)^4)*L$5*(1-'Assumptions'!$C$13)+'Scenarios'!$F$23-'Scenarios'!$F$24)*(1+'Assumptions'!$C$14)-('Scenarios'!$F$13*(1+$I6)^4)*'Assumptions'!$C$14*'Assumptions'!$G$45)/('WACC'!$C$20-'Assumptions'!$C$14)/(1+'WACC'!$C$20)^'Scenarios'!$F$31+'DCF'!$C$14)/'DCF'!$C$16</x:f>
        <x:v>23.30107268092866</x:v>
      </x:c>
      <x:c r="M6" s="9" t="n">
        <x:f>('DCF'!$G$24+((('Scenarios'!$F$13*(1+$I6)^4)*M$5*(1-'Assumptions'!$C$13)+'Scenarios'!$F$23-'Scenarios'!$F$24)*(1+'Assumptions'!$C$14)-('Scenarios'!$F$13*(1+$I6)^4)*'Assumptions'!$C$14*'Assumptions'!$G$45)/('WACC'!$C$20-'Assumptions'!$C$14)/(1+'WACC'!$C$20)^'Scenarios'!$F$31+'DCF'!$C$14)/'DCF'!$C$16</x:f>
        <x:v>23.80787886899366</x:v>
      </x:c>
      <x:c r="N6" s="9" t="n">
        <x:f>('DCF'!$G$24+((('Scenarios'!$F$13*(1+$I6)^4)*N$5*(1-'Assumptions'!$C$13)+'Scenarios'!$F$23-'Scenarios'!$F$24)*(1+'Assumptions'!$C$14)-('Scenarios'!$F$13*(1+$I6)^4)*'Assumptions'!$C$14*'Assumptions'!$G$45)/('WACC'!$C$20-'Assumptions'!$C$14)/(1+'WACC'!$C$20)^'Scenarios'!$F$31+'DCF'!$C$14)/'DCF'!$C$16</x:f>
        <x:v>24.314685057058657</x:v>
      </x:c>
    </x:row>
    <x:row r="7" ht="23" customHeight="1">
      <x:c r="A7" s="4"/>
      <x:c r="B7" s="45" t="n">
        <x:f>'Assumptions'!C14-0.005</x:f>
        <x:v>0.0225</x:v>
      </x:c>
      <x:c r="C7" s="180" t="n">
        <x:f>IF(C$5&gt;$B7,('Scenarios'!$C$29*'Scenarios'!$C$33/(1+C$5)^'Scenarios'!$C$31+'Scenarios'!$D$29/(1+C$5)^'Scenarios'!$D$31+'Scenarios'!$E$29/(1+C$5)^'Scenarios'!$E$31+'Scenarios'!$F$29/(1+C$5)^'Scenarios'!$F$31+(('Scenarios'!$F$28+'Scenarios'!$F$23-'Scenarios'!$F$24)*(1+$B7)-'Scenarios'!$F$13*$B7*'Assumptions'!$G$45)/(C$5-$B7)/(1+C$5)^'Scenarios'!$F$31+'Scenarios'!$B$38-'Assumptions'!$C$9-'Assumptions'!$G$14-'Assumptions'!$G$15)/'Assumptions'!$C$12,"n.a.")</x:f>
        <x:v>26.582427380490806</x:v>
      </x:c>
      <x:c r="D7" s="180" t="n">
        <x:f>IF(D$5&gt;$B7,('Scenarios'!$C$29*'Scenarios'!$C$33/(1+D$5)^'Scenarios'!$C$31+'Scenarios'!$D$29/(1+D$5)^'Scenarios'!$D$31+'Scenarios'!$E$29/(1+D$5)^'Scenarios'!$E$31+'Scenarios'!$F$29/(1+D$5)^'Scenarios'!$F$31+(('Scenarios'!$F$28+'Scenarios'!$F$23-'Scenarios'!$F$24)*(1+$B7)-'Scenarios'!$F$13*$B7*'Assumptions'!$G$45)/(D$5-$B7)/(1+D$5)^'Scenarios'!$F$31+'Scenarios'!$B$38-'Assumptions'!$C$9-'Assumptions'!$G$14-'Assumptions'!$G$15)/'Assumptions'!$C$12,"n.a.")</x:f>
        <x:v>24.76283816899818</x:v>
      </x:c>
      <x:c r="E7" s="180" t="n">
        <x:f>IF(E$5&gt;$B7,('Scenarios'!$C$29*'Scenarios'!$C$33/(1+E$5)^'Scenarios'!$C$31+'Scenarios'!$D$29/(1+E$5)^'Scenarios'!$D$31+'Scenarios'!$E$29/(1+E$5)^'Scenarios'!$E$31+'Scenarios'!$F$29/(1+E$5)^'Scenarios'!$F$31+(('Scenarios'!$F$28+'Scenarios'!$F$23-'Scenarios'!$F$24)*(1+$B7)-'Scenarios'!$F$13*$B7*'Assumptions'!$G$45)/(E$5-$B7)/(1+E$5)^'Scenarios'!$F$31+'Scenarios'!$B$38-'Assumptions'!$C$9-'Assumptions'!$G$14-'Assumptions'!$G$15)/'Assumptions'!$C$12,"n.a.")</x:f>
        <x:v>23.200791363954824</x:v>
      </x:c>
      <x:c r="F7" s="180" t="n">
        <x:f>IF(F$5&gt;$B7,('Scenarios'!$C$29*'Scenarios'!$C$33/(1+F$5)^'Scenarios'!$C$31+'Scenarios'!$D$29/(1+F$5)^'Scenarios'!$D$31+'Scenarios'!$E$29/(1+F$5)^'Scenarios'!$E$31+'Scenarios'!$F$29/(1+F$5)^'Scenarios'!$F$31+(('Scenarios'!$F$28+'Scenarios'!$F$23-'Scenarios'!$F$24)*(1+$B7)-'Scenarios'!$F$13*$B7*'Assumptions'!$G$45)/(F$5-$B7)/(1+F$5)^'Scenarios'!$F$31+'Scenarios'!$B$38-'Assumptions'!$C$9-'Assumptions'!$G$14-'Assumptions'!$G$15)/'Assumptions'!$C$12,"n.a.")</x:f>
        <x:v>21.845281063499247</x:v>
      </x:c>
      <x:c r="G7" s="180" t="n">
        <x:f>IF(G$5&gt;$B7,('Scenarios'!$C$29*'Scenarios'!$C$33/(1+G$5)^'Scenarios'!$C$31+'Scenarios'!$D$29/(1+G$5)^'Scenarios'!$D$31+'Scenarios'!$E$29/(1+G$5)^'Scenarios'!$E$31+'Scenarios'!$F$29/(1+G$5)^'Scenarios'!$F$31+(('Scenarios'!$F$28+'Scenarios'!$F$23-'Scenarios'!$F$24)*(1+$B7)-'Scenarios'!$F$13*$B7*'Assumptions'!$G$45)/(G$5-$B7)/(1+G$5)^'Scenarios'!$F$31+'Scenarios'!$B$38-'Assumptions'!$C$9-'Assumptions'!$G$14-'Assumptions'!$G$15)/'Assumptions'!$C$12,"n.a.")</x:f>
        <x:v>20.657934763796504</x:v>
      </x:c>
      <x:c r="H7" s="4"/>
      <x:c r="I7" s="15" t="n">
        <x:v>-0.01</x:v>
      </x:c>
      <x:c r="J7" s="9" t="n">
        <x:f>('DCF'!$G$24+((('Scenarios'!$F$13*(1+$I7)^4)*J$5*(1-'Assumptions'!$C$13)+'Scenarios'!$F$23-'Scenarios'!$F$24)*(1+'Assumptions'!$C$14)-('Scenarios'!$F$13*(1+$I7)^4)*'Assumptions'!$C$14*'Assumptions'!$G$45)/('WACC'!$C$20-'Assumptions'!$C$14)/(1+'WACC'!$C$20)^'Scenarios'!$F$31+'DCF'!$C$14)/'DCF'!$C$16</x:f>
        <x:v>23.064066700751127</x:v>
      </x:c>
      <x:c r="K7" s="9" t="n">
        <x:f>('DCF'!$G$24+((('Scenarios'!$F$13*(1+$I7)^4)*K$5*(1-'Assumptions'!$C$13)+'Scenarios'!$F$23-'Scenarios'!$F$24)*(1+'Assumptions'!$C$14)-('Scenarios'!$F$13*(1+$I7)^4)*'Assumptions'!$C$14*'Assumptions'!$G$45)/('WACC'!$C$20-'Assumptions'!$C$14)/(1+'WACC'!$C$20)^'Scenarios'!$F$31+'DCF'!$C$14)/'DCF'!$C$16</x:f>
        <x:v>23.591877637003027</x:v>
      </x:c>
      <x:c r="L7" s="9" t="n">
        <x:f>('DCF'!$G$24+((('Scenarios'!$F$13*(1+$I7)^4)*L$5*(1-'Assumptions'!$C$13)+'Scenarios'!$F$23-'Scenarios'!$F$24)*(1+'Assumptions'!$C$14)-('Scenarios'!$F$13*(1+$I7)^4)*'Assumptions'!$C$14*'Assumptions'!$G$45)/('WACC'!$C$20-'Assumptions'!$C$14)/(1+'WACC'!$C$20)^'Scenarios'!$F$31+'DCF'!$C$14)/'DCF'!$C$16</x:f>
        <x:v>24.119688573254937</x:v>
      </x:c>
      <x:c r="M7" s="9" t="n">
        <x:f>('DCF'!$G$24+((('Scenarios'!$F$13*(1+$I7)^4)*M$5*(1-'Assumptions'!$C$13)+'Scenarios'!$F$23-'Scenarios'!$F$24)*(1+'Assumptions'!$C$14)-('Scenarios'!$F$13*(1+$I7)^4)*'Assumptions'!$C$14*'Assumptions'!$G$45)/('WACC'!$C$20-'Assumptions'!$C$14)/(1+'WACC'!$C$20)^'Scenarios'!$F$31+'DCF'!$C$14)/'DCF'!$C$16</x:f>
        <x:v>24.647499509506847</x:v>
      </x:c>
      <x:c r="N7" s="9" t="n">
        <x:f>('DCF'!$G$24+((('Scenarios'!$F$13*(1+$I7)^4)*N$5*(1-'Assumptions'!$C$13)+'Scenarios'!$F$23-'Scenarios'!$F$24)*(1+'Assumptions'!$C$14)-('Scenarios'!$F$13*(1+$I7)^4)*'Assumptions'!$C$14*'Assumptions'!$G$45)/('WACC'!$C$20-'Assumptions'!$C$14)/(1+'WACC'!$C$20)^'Scenarios'!$F$31+'DCF'!$C$14)/'DCF'!$C$16</x:f>
        <x:v>25.17531044575875</x:v>
      </x:c>
    </x:row>
    <x:row r="8" ht="23" customHeight="1">
      <x:c r="A8" s="4"/>
      <x:c r="B8" s="45" t="n">
        <x:f>'Assumptions'!C14+0</x:f>
        <x:v>0.0275</x:v>
      </x:c>
      <x:c r="C8" s="180" t="n">
        <x:f>IF(C$5&gt;$B8,('Scenarios'!$C$29*'Scenarios'!$C$33/(1+C$5)^'Scenarios'!$C$31+'Scenarios'!$D$29/(1+C$5)^'Scenarios'!$D$31+'Scenarios'!$E$29/(1+C$5)^'Scenarios'!$E$31+'Scenarios'!$F$29/(1+C$5)^'Scenarios'!$F$31+(('Scenarios'!$F$28+'Scenarios'!$F$23-'Scenarios'!$F$24)*(1+$B8)-'Scenarios'!$F$13*$B8*'Assumptions'!$G$45)/(C$5-$B8)/(1+C$5)^'Scenarios'!$F$31+'Scenarios'!$B$38-'Assumptions'!$C$9-'Assumptions'!$G$14-'Assumptions'!$G$15)/'Assumptions'!$C$12,"n.a.")</x:f>
        <x:v>28.38786470271581</x:v>
      </x:c>
      <x:c r="D8" s="180" t="n">
        <x:f>IF(D$5&gt;$B8,('Scenarios'!$C$29*'Scenarios'!$C$33/(1+D$5)^'Scenarios'!$C$31+'Scenarios'!$D$29/(1+D$5)^'Scenarios'!$D$31+'Scenarios'!$E$29/(1+D$5)^'Scenarios'!$E$31+'Scenarios'!$F$29/(1+D$5)^'Scenarios'!$F$31+(('Scenarios'!$F$28+'Scenarios'!$F$23-'Scenarios'!$F$24)*(1+$B8)-'Scenarios'!$F$13*$B8*'Assumptions'!$G$45)/(D$5-$B8)/(1+D$5)^'Scenarios'!$F$31+'Scenarios'!$B$38-'Assumptions'!$C$9-'Assumptions'!$G$14-'Assumptions'!$G$15)/'Assumptions'!$C$12,"n.a.")</x:f>
        <x:v>26.272541738163163</x:v>
      </x:c>
      <x:c r="E8" s="181" t="n">
        <x:f>IF(E$5&gt;$B8,('Scenarios'!$C$29*'Scenarios'!$C$33/(1+E$5)^'Scenarios'!$C$31+'Scenarios'!$D$29/(1+E$5)^'Scenarios'!$D$31+'Scenarios'!$E$29/(1+E$5)^'Scenarios'!$E$31+'Scenarios'!$F$29/(1+E$5)^'Scenarios'!$F$31+(('Scenarios'!$F$28+'Scenarios'!$F$23-'Scenarios'!$F$24)*(1+$B8)-'Scenarios'!$F$13*$B8*'Assumptions'!$G$45)/(E$5-$B8)/(1+E$5)^'Scenarios'!$F$31+'Scenarios'!$B$38-'Assumptions'!$C$9-'Assumptions'!$G$14-'Assumptions'!$G$15)/'Assumptions'!$C$12,"n.a.")</x:f>
        <x:v>24.479288755801882</x:v>
      </x:c>
      <x:c r="F8" s="180" t="n">
        <x:f>IF(F$5&gt;$B8,('Scenarios'!$C$29*'Scenarios'!$C$33/(1+F$5)^'Scenarios'!$C$31+'Scenarios'!$D$29/(1+F$5)^'Scenarios'!$D$31+'Scenarios'!$E$29/(1+F$5)^'Scenarios'!$E$31+'Scenarios'!$F$29/(1+F$5)^'Scenarios'!$F$31+(('Scenarios'!$F$28+'Scenarios'!$F$23-'Scenarios'!$F$24)*(1+$B8)-'Scenarios'!$F$13*$B8*'Assumptions'!$G$45)/(F$5-$B8)/(1+F$5)^'Scenarios'!$F$31+'Scenarios'!$B$38-'Assumptions'!$C$9-'Assumptions'!$G$14-'Assumptions'!$G$15)/'Assumptions'!$C$12,"n.a.")</x:f>
        <x:v>22.939814828923588</x:v>
      </x:c>
      <x:c r="G8" s="180" t="n">
        <x:f>IF(G$5&gt;$B8,('Scenarios'!$C$29*'Scenarios'!$C$33/(1+G$5)^'Scenarios'!$C$31+'Scenarios'!$D$29/(1+G$5)^'Scenarios'!$D$31+'Scenarios'!$E$29/(1+G$5)^'Scenarios'!$E$31+'Scenarios'!$F$29/(1+G$5)^'Scenarios'!$F$31+(('Scenarios'!$F$28+'Scenarios'!$F$23-'Scenarios'!$F$24)*(1+$B8)-'Scenarios'!$F$13*$B8*'Assumptions'!$G$45)/(G$5-$B8)/(1+G$5)^'Scenarios'!$F$31+'Scenarios'!$B$38-'Assumptions'!$C$9-'Assumptions'!$G$14-'Assumptions'!$G$15)/'Assumptions'!$C$12,"n.a.")</x:f>
        <x:v>21.603860096040542</x:v>
      </x:c>
      <x:c r="H8" s="4"/>
      <x:c r="I8" s="15" t="n">
        <x:v>0</x:v>
      </x:c>
      <x:c r="J8" s="9" t="n">
        <x:f>('DCF'!$G$24+((('Scenarios'!$F$13*(1+$I8)^4)*J$5*(1-'Assumptions'!$C$13)+'Scenarios'!$F$23-'Scenarios'!$F$24)*(1+'Assumptions'!$C$14)-('Scenarios'!$F$13*(1+$I8)^4)*'Assumptions'!$C$14*'Assumptions'!$G$45)/('WACC'!$C$20-'Assumptions'!$C$14)/(1+'WACC'!$C$20)^'Scenarios'!$F$31+'DCF'!$C$14)/'DCF'!$C$16</x:f>
        <x:v>23.864566615343417</x:v>
      </x:c>
      <x:c r="K8" s="9" t="n">
        <x:f>('DCF'!$G$24+((('Scenarios'!$F$13*(1+$I8)^4)*K$5*(1-'Assumptions'!$C$13)+'Scenarios'!$F$23-'Scenarios'!$F$24)*(1+'Assumptions'!$C$14)-('Scenarios'!$F$13*(1+$I8)^4)*'Assumptions'!$C$14*'Assumptions'!$G$45)/('WACC'!$C$20-'Assumptions'!$C$14)/(1+'WACC'!$C$20)^'Scenarios'!$F$31+'DCF'!$C$14)/'DCF'!$C$16</x:f>
        <x:v>24.414028543934926</x:v>
      </x:c>
      <x:c r="L8" s="9" t="n">
        <x:f>('DCF'!$G$24+((('Scenarios'!$F$13*(1+$I8)^4)*L$5*(1-'Assumptions'!$C$13)+'Scenarios'!$F$23-'Scenarios'!$F$24)*(1+'Assumptions'!$C$14)-('Scenarios'!$F$13*(1+$I8)^4)*'Assumptions'!$C$14*'Assumptions'!$G$45)/('WACC'!$C$20-'Assumptions'!$C$14)/(1+'WACC'!$C$20)^'Scenarios'!$F$31+'DCF'!$C$14)/'DCF'!$C$16</x:f>
        <x:v>24.963490472526434</x:v>
      </x:c>
      <x:c r="M8" s="9" t="n">
        <x:f>('DCF'!$G$24+((('Scenarios'!$F$13*(1+$I8)^4)*M$5*(1-'Assumptions'!$C$13)+'Scenarios'!$F$23-'Scenarios'!$F$24)*(1+'Assumptions'!$C$14)-('Scenarios'!$F$13*(1+$I8)^4)*'Assumptions'!$C$14*'Assumptions'!$G$45)/('WACC'!$C$20-'Assumptions'!$C$14)/(1+'WACC'!$C$20)^'Scenarios'!$F$31+'DCF'!$C$14)/'DCF'!$C$16</x:f>
        <x:v>25.51295240111794</x:v>
      </x:c>
      <x:c r="N8" s="9" t="n">
        <x:f>('DCF'!$G$24+((('Scenarios'!$F$13*(1+$I8)^4)*N$5*(1-'Assumptions'!$C$13)+'Scenarios'!$F$23-'Scenarios'!$F$24)*(1+'Assumptions'!$C$14)-('Scenarios'!$F$13*(1+$I8)^4)*'Assumptions'!$C$14*'Assumptions'!$G$45)/('WACC'!$C$20-'Assumptions'!$C$14)/(1+'WACC'!$C$20)^'Scenarios'!$F$31+'DCF'!$C$14)/'DCF'!$C$16</x:f>
        <x:v>26.062414329709448</x:v>
      </x:c>
    </x:row>
    <x:row r="9" ht="23" customHeight="1">
      <x:c r="A9" s="4"/>
      <x:c r="B9" s="45" t="n">
        <x:f>'Assumptions'!C14+0.005</x:f>
        <x:v>0.0325</x:v>
      </x:c>
      <x:c r="C9" s="180" t="n">
        <x:f>IF(C$5&gt;$B9,('Scenarios'!$C$29*'Scenarios'!$C$33/(1+C$5)^'Scenarios'!$C$31+'Scenarios'!$D$29/(1+C$5)^'Scenarios'!$D$31+'Scenarios'!$E$29/(1+C$5)^'Scenarios'!$E$31+'Scenarios'!$F$29/(1+C$5)^'Scenarios'!$F$31+(('Scenarios'!$F$28+'Scenarios'!$F$23-'Scenarios'!$F$24)*(1+$B9)-'Scenarios'!$F$13*$B9*'Assumptions'!$G$45)/(C$5-$B9)/(1+C$5)^'Scenarios'!$F$31+'Scenarios'!$B$38-'Assumptions'!$C$9-'Assumptions'!$G$14-'Assumptions'!$G$15)/'Assumptions'!$C$12,"n.a.")</x:f>
        <x:v>30.549062423188</x:v>
      </x:c>
      <x:c r="D9" s="180" t="n">
        <x:f>IF(D$5&gt;$B9,('Scenarios'!$C$29*'Scenarios'!$C$33/(1+D$5)^'Scenarios'!$C$31+'Scenarios'!$D$29/(1+D$5)^'Scenarios'!$D$31+'Scenarios'!$E$29/(1+D$5)^'Scenarios'!$E$31+'Scenarios'!$F$29/(1+D$5)^'Scenarios'!$F$31+(('Scenarios'!$F$28+'Scenarios'!$F$23-'Scenarios'!$F$24)*(1+$B9)-'Scenarios'!$F$13*$B9*'Assumptions'!$G$45)/(D$5-$B9)/(1+D$5)^'Scenarios'!$F$31+'Scenarios'!$B$38-'Assumptions'!$C$9-'Assumptions'!$G$14-'Assumptions'!$G$15)/'Assumptions'!$C$12,"n.a.")</x:f>
        <x:v>28.05305053000178</x:v>
      </x:c>
      <x:c r="E9" s="180" t="n">
        <x:f>IF(E$5&gt;$B9,('Scenarios'!$C$29*'Scenarios'!$C$33/(1+E$5)^'Scenarios'!$C$31+'Scenarios'!$D$29/(1+E$5)^'Scenarios'!$D$31+'Scenarios'!$E$29/(1+E$5)^'Scenarios'!$E$31+'Scenarios'!$F$29/(1+E$5)^'Scenarios'!$F$31+(('Scenarios'!$F$28+'Scenarios'!$F$23-'Scenarios'!$F$24)*(1+$B9)-'Scenarios'!$F$13*$B9*'Assumptions'!$G$45)/(E$5-$B9)/(1+E$5)^'Scenarios'!$F$31+'Scenarios'!$B$38-'Assumptions'!$C$9-'Assumptions'!$G$14-'Assumptions'!$G$15)/'Assumptions'!$C$12,"n.a.")</x:f>
        <x:v>25.968242940645247</x:v>
      </x:c>
      <x:c r="F9" s="180" t="n">
        <x:f>IF(F$5&gt;$B9,('Scenarios'!$C$29*'Scenarios'!$C$33/(1+F$5)^'Scenarios'!$C$31+'Scenarios'!$D$29/(1+F$5)^'Scenarios'!$D$31+'Scenarios'!$E$29/(1+F$5)^'Scenarios'!$E$31+'Scenarios'!$F$29/(1+F$5)^'Scenarios'!$F$31+(('Scenarios'!$F$28+'Scenarios'!$F$23-'Scenarios'!$F$24)*(1+$B9)-'Scenarios'!$F$13*$B9*'Assumptions'!$G$45)/(F$5-$B9)/(1+F$5)^'Scenarios'!$F$31+'Scenarios'!$B$38-'Assumptions'!$C$9-'Assumptions'!$G$14-'Assumptions'!$G$15)/'Assumptions'!$C$12,"n.a.")</x:f>
        <x:v>24.20082093159681</x:v>
      </x:c>
      <x:c r="G9" s="180" t="n">
        <x:f>IF(G$5&gt;$B9,('Scenarios'!$C$29*'Scenarios'!$C$33/(1+G$5)^'Scenarios'!$C$31+'Scenarios'!$D$29/(1+G$5)^'Scenarios'!$D$31+'Scenarios'!$E$29/(1+G$5)^'Scenarios'!$E$31+'Scenarios'!$F$29/(1+G$5)^'Scenarios'!$F$31+(('Scenarios'!$F$28+'Scenarios'!$F$23-'Scenarios'!$F$24)*(1+$B9)-'Scenarios'!$F$13*$B9*'Assumptions'!$G$45)/(G$5-$B9)/(1+G$5)^'Scenarios'!$F$31+'Scenarios'!$B$38-'Assumptions'!$C$9-'Assumptions'!$G$14-'Assumptions'!$G$15)/'Assumptions'!$C$12,"n.a.")</x:f>
        <x:v>22.683487602511647</x:v>
      </x:c>
      <x:c r="H9" s="4"/>
      <x:c r="I9" s="15" t="n">
        <x:v>0.01</x:v>
      </x:c>
      <x:c r="J9" s="9" t="n">
        <x:f>('DCF'!$G$24+((('Scenarios'!$F$13*(1+$I9)^4)*J$5*(1-'Assumptions'!$C$13)+'Scenarios'!$F$23-'Scenarios'!$F$24)*(1+'Assumptions'!$C$14)-('Scenarios'!$F$13*(1+$I9)^4)*'Assumptions'!$C$14*'Assumptions'!$G$45)/('WACC'!$C$20-'Assumptions'!$C$14)/(1+'WACC'!$C$20)^'Scenarios'!$F$31+'DCF'!$C$14)/'DCF'!$C$16</x:f>
        <x:v>24.689445175537568</x:v>
      </x:c>
      <x:c r="K9" s="9" t="n">
        <x:f>('DCF'!$G$24+((('Scenarios'!$F$13*(1+$I9)^4)*K$5*(1-'Assumptions'!$C$13)+'Scenarios'!$F$23-'Scenarios'!$F$24)*(1+'Assumptions'!$C$14)-('Scenarios'!$F$13*(1+$I9)^4)*'Assumptions'!$C$14*'Assumptions'!$G$45)/('WACC'!$C$20-'Assumptions'!$C$14)/(1+'WACC'!$C$20)^'Scenarios'!$F$31+'DCF'!$C$14)/'DCF'!$C$16</x:f>
        <x:v>25.261217461772226</x:v>
      </x:c>
      <x:c r="L9" s="9" t="n">
        <x:f>('DCF'!$G$24+((('Scenarios'!$F$13*(1+$I9)^4)*L$5*(1-'Assumptions'!$C$13)+'Scenarios'!$F$23-'Scenarios'!$F$24)*(1+'Assumptions'!$C$14)-('Scenarios'!$F$13*(1+$I9)^4)*'Assumptions'!$C$14*'Assumptions'!$G$45)/('WACC'!$C$20-'Assumptions'!$C$14)/(1+'WACC'!$C$20)^'Scenarios'!$F$31+'DCF'!$C$14)/'DCF'!$C$16</x:f>
        <x:v>25.83298974800688</x:v>
      </x:c>
      <x:c r="M9" s="9" t="n">
        <x:f>('DCF'!$G$24+((('Scenarios'!$F$13*(1+$I9)^4)*M$5*(1-'Assumptions'!$C$13)+'Scenarios'!$F$23-'Scenarios'!$F$24)*(1+'Assumptions'!$C$14)-('Scenarios'!$F$13*(1+$I9)^4)*'Assumptions'!$C$14*'Assumptions'!$G$45)/('WACC'!$C$20-'Assumptions'!$C$14)/(1+'WACC'!$C$20)^'Scenarios'!$F$31+'DCF'!$C$14)/'DCF'!$C$16</x:f>
        <x:v>26.404762034241536</x:v>
      </x:c>
      <x:c r="N9" s="9" t="n">
        <x:f>('DCF'!$G$24+((('Scenarios'!$F$13*(1+$I9)^4)*N$5*(1-'Assumptions'!$C$13)+'Scenarios'!$F$23-'Scenarios'!$F$24)*(1+'Assumptions'!$C$14)-('Scenarios'!$F$13*(1+$I9)^4)*'Assumptions'!$C$14*'Assumptions'!$G$45)/('WACC'!$C$20-'Assumptions'!$C$14)/(1+'WACC'!$C$20)^'Scenarios'!$F$31+'DCF'!$C$14)/'DCF'!$C$16</x:f>
        <x:v>26.976534320476194</x:v>
      </x:c>
    </x:row>
    <x:row r="10" ht="23" customHeight="1">
      <x:c r="A10" s="4"/>
      <x:c r="B10" s="45" t="n">
        <x:f>'Assumptions'!C14+0.01</x:f>
        <x:v>0.0375</x:v>
      </x:c>
      <x:c r="C10" s="180" t="n">
        <x:f>IF(C$5&gt;$B10,('Scenarios'!$C$29*'Scenarios'!$C$33/(1+C$5)^'Scenarios'!$C$31+'Scenarios'!$D$29/(1+C$5)^'Scenarios'!$D$31+'Scenarios'!$E$29/(1+C$5)^'Scenarios'!$E$31+'Scenarios'!$F$29/(1+C$5)^'Scenarios'!$F$31+(('Scenarios'!$F$28+'Scenarios'!$F$23-'Scenarios'!$F$24)*(1+$B10)-'Scenarios'!$F$13*$B10*'Assumptions'!$G$45)/(C$5-$B10)/(1+C$5)^'Scenarios'!$F$31+'Scenarios'!$B$38-'Assumptions'!$C$9-'Assumptions'!$G$14-'Assumptions'!$G$15)/'Assumptions'!$C$12,"n.a.")</x:f>
        <x:v>33.18266664221734</x:v>
      </x:c>
      <x:c r="D10" s="180" t="n">
        <x:f>IF(D$5&gt;$B10,('Scenarios'!$C$29*'Scenarios'!$C$33/(1+D$5)^'Scenarios'!$C$31+'Scenarios'!$D$29/(1+D$5)^'Scenarios'!$D$31+'Scenarios'!$E$29/(1+D$5)^'Scenarios'!$E$31+'Scenarios'!$F$29/(1+D$5)^'Scenarios'!$F$31+(('Scenarios'!$F$28+'Scenarios'!$F$23-'Scenarios'!$F$24)*(1+$B10)-'Scenarios'!$F$13*$B10*'Assumptions'!$G$45)/(D$5-$B10)/(1+D$5)^'Scenarios'!$F$31+'Scenarios'!$B$38-'Assumptions'!$C$9-'Assumptions'!$G$14-'Assumptions'!$G$15)/'Assumptions'!$C$12,"n.a.")</x:f>
        <x:v>30.184407567342753</x:v>
      </x:c>
      <x:c r="E10" s="180" t="n">
        <x:f>IF(E$5&gt;$B10,('Scenarios'!$C$29*'Scenarios'!$C$33/(1+E$5)^'Scenarios'!$C$31+'Scenarios'!$D$29/(1+E$5)^'Scenarios'!$D$31+'Scenarios'!$E$29/(1+E$5)^'Scenarios'!$E$31+'Scenarios'!$F$29/(1+E$5)^'Scenarios'!$F$31+(('Scenarios'!$F$28+'Scenarios'!$F$23-'Scenarios'!$F$24)*(1+$B10)-'Scenarios'!$F$13*$B10*'Assumptions'!$G$45)/(E$5-$B10)/(1+E$5)^'Scenarios'!$F$31+'Scenarios'!$B$38-'Assumptions'!$C$9-'Assumptions'!$G$14-'Assumptions'!$G$15)/'Assumptions'!$C$12,"n.a.")</x:f>
        <x:v>27.724280397869265</x:v>
      </x:c>
      <x:c r="F10" s="180" t="n">
        <x:f>IF(F$5&gt;$B10,('Scenarios'!$C$29*'Scenarios'!$C$33/(1+F$5)^'Scenarios'!$C$31+'Scenarios'!$D$29/(1+F$5)^'Scenarios'!$D$31+'Scenarios'!$E$29/(1+F$5)^'Scenarios'!$E$31+'Scenarios'!$F$29/(1+F$5)^'Scenarios'!$F$31+(('Scenarios'!$F$28+'Scenarios'!$F$23-'Scenarios'!$F$24)*(1+$B10)-'Scenarios'!$F$13*$B10*'Assumptions'!$G$45)/(F$5-$B10)/(1+F$5)^'Scenarios'!$F$31+'Scenarios'!$B$38-'Assumptions'!$C$9-'Assumptions'!$G$14-'Assumptions'!$G$15)/'Assumptions'!$C$12,"n.a.")</x:f>
        <x:v>25.66940454049705</x:v>
      </x:c>
      <x:c r="G10" s="180" t="n">
        <x:f>IF(G$5&gt;$B10,('Scenarios'!$C$29*'Scenarios'!$C$33/(1+G$5)^'Scenarios'!$C$31+'Scenarios'!$D$29/(1+G$5)^'Scenarios'!$D$31+'Scenarios'!$E$29/(1+G$5)^'Scenarios'!$E$31+'Scenarios'!$F$29/(1+G$5)^'Scenarios'!$F$31+(('Scenarios'!$F$28+'Scenarios'!$F$23-'Scenarios'!$F$24)*(1+$B10)-'Scenarios'!$F$13*$B10*'Assumptions'!$G$45)/(G$5-$B10)/(1+G$5)^'Scenarios'!$F$31+'Scenarios'!$B$38-'Assumptions'!$C$9-'Assumptions'!$G$14-'Assumptions'!$G$15)/'Assumptions'!$C$12,"n.a.")</x:f>
        <x:v>23.927320289341655</x:v>
      </x:c>
      <x:c r="H10" s="4"/>
      <x:c r="I10" s="4"/>
      <x:c r="J10" s="52" t="n">
        <x:f>('DCF'!$G$24+((('Scenarios'!$F$13*(1+$I10)^4)*J$5*(1-'Assumptions'!$C$13)+'Scenarios'!$F$23-'Scenarios'!$F$24)*(1+'Assumptions'!$C$14)-('Scenarios'!$F$13*(1+$I10)^4)*'Assumptions'!$C$14*'Assumptions'!$G$45)/('WACC'!$C$20-'Assumptions'!$C$14)/(1+'WACC'!$C$20)^'Scenarios'!$F$31+'DCF'!$C$14)/'DCF'!$C$16</x:f>
        <x:v>23.864566615343417</x:v>
      </x:c>
      <x:c r="K10" s="52" t="n">
        <x:f>('DCF'!$G$24+((('Scenarios'!$F$13*(1+$I10)^4)*K$5*(1-'Assumptions'!$C$13)+'Scenarios'!$F$23-'Scenarios'!$F$24)*(1+'Assumptions'!$C$14)-('Scenarios'!$F$13*(1+$I10)^4)*'Assumptions'!$C$14*'Assumptions'!$G$45)/('WACC'!$C$20-'Assumptions'!$C$14)/(1+'WACC'!$C$20)^'Scenarios'!$F$31+'DCF'!$C$14)/'DCF'!$C$16</x:f>
        <x:v>24.414028543934926</x:v>
      </x:c>
      <x:c r="L10" s="52" t="n">
        <x:f>('DCF'!$G$24+((('Scenarios'!$F$13*(1+$I10)^4)*L$5*(1-'Assumptions'!$C$13)+'Scenarios'!$F$23-'Scenarios'!$F$24)*(1+'Assumptions'!$C$14)-('Scenarios'!$F$13*(1+$I10)^4)*'Assumptions'!$C$14*'Assumptions'!$G$45)/('WACC'!$C$20-'Assumptions'!$C$14)/(1+'WACC'!$C$20)^'Scenarios'!$F$31+'DCF'!$C$14)/'DCF'!$C$16</x:f>
        <x:v>24.963490472526434</x:v>
      </x:c>
      <x:c r="M10" s="52" t="n">
        <x:f>('DCF'!$G$24+((('Scenarios'!$F$13*(1+$I10)^4)*M$5*(1-'Assumptions'!$C$13)+'Scenarios'!$F$23-'Scenarios'!$F$24)*(1+'Assumptions'!$C$14)-('Scenarios'!$F$13*(1+$I10)^4)*'Assumptions'!$C$14*'Assumptions'!$G$45)/('WACC'!$C$20-'Assumptions'!$C$14)/(1+'WACC'!$C$20)^'Scenarios'!$F$31+'DCF'!$C$14)/'DCF'!$C$16</x:f>
        <x:v>25.51295240111794</x:v>
      </x:c>
      <x:c r="N10" s="52" t="n">
        <x:f>('DCF'!$G$24+((('Scenarios'!$F$13*(1+$I10)^4)*N$5*(1-'Assumptions'!$C$13)+'Scenarios'!$F$23-'Scenarios'!$F$24)*(1+'Assumptions'!$C$14)-('Scenarios'!$F$13*(1+$I10)^4)*'Assumptions'!$C$14*'Assumptions'!$G$45)/('WACC'!$C$20-'Assumptions'!$C$14)/(1+'WACC'!$C$20)^'Scenarios'!$F$31+'DCF'!$C$14)/'DCF'!$C$16</x:f>
        <x:v>26.062414329709448</x:v>
      </x:c>
    </x:row>
    <x:row r="11" ht="23" customHeight="1">
      <x:c r="A11" s="4"/>
      <x:c r="B11" s="4"/>
      <x:c r="C11" s="4"/>
      <x:c r="D11" s="4"/>
      <x:c r="E11" s="4"/>
      <x:c r="F11" s="4"/>
      <x:c r="G11" s="4"/>
      <x:c r="H11" s="4"/>
      <x:c r="I11" s="4"/>
      <x:c r="J11" s="4"/>
      <x:c r="K11" s="4"/>
      <x:c r="L11" s="4"/>
      <x:c r="M11" s="4"/>
      <x:c r="N11" s="4"/>
    </x:row>
    <x:row r="12" ht="23" customHeight="1">
      <x:c r="A12" s="4"/>
      <x:c r="B12" s="4"/>
      <x:c r="C12" s="4"/>
      <x:c r="D12" s="4"/>
      <x:c r="E12" s="4"/>
      <x:c r="F12" s="4"/>
      <x:c r="G12" s="4"/>
      <x:c r="H12" s="4"/>
      <x:c r="I12" s="4"/>
      <x:c r="J12" s="4"/>
      <x:c r="K12" s="4"/>
      <x:c r="L12" s="4"/>
      <x:c r="M12" s="4"/>
      <x:c r="N12" s="4"/>
    </x:row>
    <x:row r="13" ht="23" customHeight="1">
      <x:c r="A13" s="4"/>
      <x:c r="B13" s="4"/>
      <x:c r="C13" s="4"/>
      <x:c r="D13" s="4"/>
      <x:c r="E13" s="4"/>
      <x:c r="F13" s="4"/>
      <x:c r="G13" s="4"/>
      <x:c r="H13" s="4"/>
      <x:c r="I13" s="4"/>
      <x:c r="J13" s="4"/>
      <x:c r="K13" s="4"/>
      <x:c r="L13" s="4"/>
      <x:c r="M13" s="4"/>
      <x:c r="N13" s="4"/>
    </x:row>
    <x:row r="14" ht="25" customHeight="1">
      <x:c r="A14" s="4"/>
      <x:c r="B14" s="60" t="str">
        <x:v>Terminal CapEx vs. EBIT Margin (explicit forecast fixed)</x:v>
      </x:c>
      <x:c r="C14" s="61"/>
      <x:c r="D14" s="61"/>
      <x:c r="E14" s="61"/>
      <x:c r="F14" s="61"/>
      <x:c r="G14" s="61"/>
      <x:c r="H14" s="4"/>
      <x:c r="I14" s="4"/>
      <x:c r="J14" s="4"/>
      <x:c r="K14" s="4"/>
      <x:c r="L14" s="4"/>
      <x:c r="M14" s="4"/>
      <x:c r="N14" s="4"/>
    </x:row>
    <x:row r="15" ht="34" customHeight="1">
      <x:c r="A15" s="4"/>
      <x:c r="B15" s="178" t="str">
        <x:v>EBIT margin / CapEx ratio</x:v>
      </x:c>
      <x:c r="C15" s="76" t="n">
        <x:f>'Assumptions'!G43-0.02</x:f>
        <x:v>0.08</x:v>
      </x:c>
      <x:c r="D15" s="76" t="n">
        <x:f>'Assumptions'!G43-0.01</x:f>
        <x:v>0.09000000000000001</x:v>
      </x:c>
      <x:c r="E15" s="76" t="n">
        <x:f>'Assumptions'!G43+0</x:f>
        <x:v>0.1</x:v>
      </x:c>
      <x:c r="F15" s="76" t="n">
        <x:f>'Assumptions'!G43+0.01</x:f>
        <x:v>0.11</x:v>
      </x:c>
      <x:c r="G15" s="76" t="n">
        <x:f>'Assumptions'!G43+0.02</x:f>
        <x:v>0.12000000000000001</x:v>
      </x:c>
      <x:c r="H15" s="4"/>
      <x:c r="I15" s="4"/>
      <x:c r="J15" s="4"/>
      <x:c r="K15" s="4"/>
      <x:c r="L15" s="4"/>
      <x:c r="M15" s="4"/>
      <x:c r="N15" s="4"/>
    </x:row>
    <x:row r="16" ht="23" customHeight="1">
      <x:c r="A16" s="4"/>
      <x:c r="B16" s="45" t="n">
        <x:f>'Scenarios'!F21-0.02</x:f>
        <x:v>0.361187711258435</x:v>
      </x:c>
      <x:c r="C16" s="180" t="n">
        <x:f>('DCF'!$G$24+(('Scenarios'!$F$13*$B16*(1-'Assumptions'!$C$13)+'Scenarios'!$F$23-'Scenarios'!$F$13*C$15)*(1+'Assumptions'!$C$14)-'Scenarios'!$F$13*'Assumptions'!$C$14*'Assumptions'!$G$45)/('WACC'!$C$20-'Assumptions'!$C$14)/(1+'WACC'!$C$20)^'Scenarios'!$F$31+'DCF'!$C$14)/'DCF'!$C$16</x:f>
        <x:v>24.771407755812557</x:v>
      </x:c>
      <x:c r="D16" s="180" t="n">
        <x:f>('DCF'!$G$24+(('Scenarios'!$F$13*$B16*(1-'Assumptions'!$C$13)+'Scenarios'!$F$23-'Scenarios'!$F$13*D$15)*(1+'Assumptions'!$C$14)-'Scenarios'!$F$13*'Assumptions'!$C$14*'Assumptions'!$G$45)/('WACC'!$C$20-'Assumptions'!$C$14)/(1+'WACC'!$C$20)^'Scenarios'!$F$31+'DCF'!$C$14)/'DCF'!$C$16</x:f>
        <x:v>24.075886327215716</x:v>
      </x:c>
      <x:c r="E16" s="180" t="n">
        <x:f>('DCF'!$G$24+(('Scenarios'!$F$13*$B16*(1-'Assumptions'!$C$13)+'Scenarios'!$F$23-'Scenarios'!$F$13*E$15)*(1+'Assumptions'!$C$14)-'Scenarios'!$F$13*'Assumptions'!$C$14*'Assumptions'!$G$45)/('WACC'!$C$20-'Assumptions'!$C$14)/(1+'WACC'!$C$20)^'Scenarios'!$F$31+'DCF'!$C$14)/'DCF'!$C$16</x:f>
        <x:v>23.380364898618872</x:v>
      </x:c>
      <x:c r="F16" s="180" t="n">
        <x:f>('DCF'!$G$24+(('Scenarios'!$F$13*$B16*(1-'Assumptions'!$C$13)+'Scenarios'!$F$23-'Scenarios'!$F$13*F$15)*(1+'Assumptions'!$C$14)-'Scenarios'!$F$13*'Assumptions'!$C$14*'Assumptions'!$G$45)/('WACC'!$C$20-'Assumptions'!$C$14)/(1+'WACC'!$C$20)^'Scenarios'!$F$31+'DCF'!$C$14)/'DCF'!$C$16</x:f>
        <x:v>22.684843470022024</x:v>
      </x:c>
      <x:c r="G16" s="180" t="n">
        <x:f>('DCF'!$G$24+(('Scenarios'!$F$13*$B16*(1-'Assumptions'!$C$13)+'Scenarios'!$F$23-'Scenarios'!$F$13*G$15)*(1+'Assumptions'!$C$14)-'Scenarios'!$F$13*'Assumptions'!$C$14*'Assumptions'!$G$45)/('WACC'!$C$20-'Assumptions'!$C$14)/(1+'WACC'!$C$20)^'Scenarios'!$F$31+'DCF'!$C$14)/'DCF'!$C$16</x:f>
        <x:v>21.98932204142518</x:v>
      </x:c>
      <x:c r="H16" s="4"/>
      <x:c r="I16" s="4"/>
      <x:c r="J16" s="4"/>
      <x:c r="K16" s="4"/>
      <x:c r="L16" s="4"/>
      <x:c r="M16" s="4"/>
      <x:c r="N16" s="4"/>
    </x:row>
    <x:row r="17" ht="23" customHeight="1">
      <x:c r="A17" s="4"/>
      <x:c r="B17" s="45" t="n">
        <x:f>'Scenarios'!F21-0.01</x:f>
        <x:v>0.371187711258435</x:v>
      </x:c>
      <x:c r="C17" s="180" t="n">
        <x:f>('DCF'!$G$24+(('Scenarios'!$F$13*$B17*(1-'Assumptions'!$C$13)+'Scenarios'!$F$23-'Scenarios'!$F$13*C$15)*(1+'Assumptions'!$C$14)-'Scenarios'!$F$13*'Assumptions'!$C$14*'Assumptions'!$G$45)/('WACC'!$C$20-'Assumptions'!$C$14)/(1+'WACC'!$C$20)^'Scenarios'!$F$31+'DCF'!$C$14)/'DCF'!$C$16</x:f>
        <x:v>25.320869684404066</x:v>
      </x:c>
      <x:c r="D17" s="180" t="n">
        <x:f>('DCF'!$G$24+(('Scenarios'!$F$13*$B17*(1-'Assumptions'!$C$13)+'Scenarios'!$F$23-'Scenarios'!$F$13*D$15)*(1+'Assumptions'!$C$14)-'Scenarios'!$F$13*'Assumptions'!$C$14*'Assumptions'!$G$45)/('WACC'!$C$20-'Assumptions'!$C$14)/(1+'WACC'!$C$20)^'Scenarios'!$F$31+'DCF'!$C$14)/'DCF'!$C$16</x:f>
        <x:v>24.625348255807225</x:v>
      </x:c>
      <x:c r="E17" s="180" t="n">
        <x:f>('DCF'!$G$24+(('Scenarios'!$F$13*$B17*(1-'Assumptions'!$C$13)+'Scenarios'!$F$23-'Scenarios'!$F$13*E$15)*(1+'Assumptions'!$C$14)-'Scenarios'!$F$13*'Assumptions'!$C$14*'Assumptions'!$G$45)/('WACC'!$C$20-'Assumptions'!$C$14)/(1+'WACC'!$C$20)^'Scenarios'!$F$31+'DCF'!$C$14)/'DCF'!$C$16</x:f>
        <x:v>23.929826827210377</x:v>
      </x:c>
      <x:c r="F17" s="180" t="n">
        <x:f>('DCF'!$G$24+(('Scenarios'!$F$13*$B17*(1-'Assumptions'!$C$13)+'Scenarios'!$F$23-'Scenarios'!$F$13*F$15)*(1+'Assumptions'!$C$14)-'Scenarios'!$F$13*'Assumptions'!$C$14*'Assumptions'!$G$45)/('WACC'!$C$20-'Assumptions'!$C$14)/(1+'WACC'!$C$20)^'Scenarios'!$F$31+'DCF'!$C$14)/'DCF'!$C$16</x:f>
        <x:v>23.234305398613536</x:v>
      </x:c>
      <x:c r="G17" s="180" t="n">
        <x:f>('DCF'!$G$24+(('Scenarios'!$F$13*$B17*(1-'Assumptions'!$C$13)+'Scenarios'!$F$23-'Scenarios'!$F$13*G$15)*(1+'Assumptions'!$C$14)-'Scenarios'!$F$13*'Assumptions'!$C$14*'Assumptions'!$G$45)/('WACC'!$C$20-'Assumptions'!$C$14)/(1+'WACC'!$C$20)^'Scenarios'!$F$31+'DCF'!$C$14)/'DCF'!$C$16</x:f>
        <x:v>22.538783970016688</x:v>
      </x:c>
      <x:c r="H17" s="4"/>
      <x:c r="I17" s="4"/>
      <x:c r="J17" s="4"/>
      <x:c r="K17" s="4"/>
      <x:c r="L17" s="4"/>
      <x:c r="M17" s="4"/>
      <x:c r="N17" s="4"/>
    </x:row>
    <x:row r="18" ht="23" customHeight="1">
      <x:c r="A18" s="4"/>
      <x:c r="B18" s="45" t="n">
        <x:f>'Scenarios'!F21+0</x:f>
        <x:v>0.38118771125843504</x:v>
      </x:c>
      <x:c r="C18" s="180" t="n">
        <x:f>('DCF'!$G$24+(('Scenarios'!$F$13*$B18*(1-'Assumptions'!$C$13)+'Scenarios'!$F$23-'Scenarios'!$F$13*C$15)*(1+'Assumptions'!$C$14)-'Scenarios'!$F$13*'Assumptions'!$C$14*'Assumptions'!$G$45)/('WACC'!$C$20-'Assumptions'!$C$14)/(1+'WACC'!$C$20)^'Scenarios'!$F$31+'DCF'!$C$14)/'DCF'!$C$16</x:f>
        <x:v>25.870331612995578</x:v>
      </x:c>
      <x:c r="D18" s="180" t="n">
        <x:f>('DCF'!$G$24+(('Scenarios'!$F$13*$B18*(1-'Assumptions'!$C$13)+'Scenarios'!$F$23-'Scenarios'!$F$13*D$15)*(1+'Assumptions'!$C$14)-'Scenarios'!$F$13*'Assumptions'!$C$14*'Assumptions'!$G$45)/('WACC'!$C$20-'Assumptions'!$C$14)/(1+'WACC'!$C$20)^'Scenarios'!$F$31+'DCF'!$C$14)/'DCF'!$C$16</x:f>
        <x:v>25.174810184398726</x:v>
      </x:c>
      <x:c r="E18" s="180" t="n">
        <x:f>('DCF'!$G$24+(('Scenarios'!$F$13*$B18*(1-'Assumptions'!$C$13)+'Scenarios'!$F$23-'Scenarios'!$F$13*E$15)*(1+'Assumptions'!$C$14)-'Scenarios'!$F$13*'Assumptions'!$C$14*'Assumptions'!$G$45)/('WACC'!$C$20-'Assumptions'!$C$14)/(1+'WACC'!$C$20)^'Scenarios'!$F$31+'DCF'!$C$14)/'DCF'!$C$16</x:f>
        <x:v>24.479288755801882</x:v>
      </x:c>
      <x:c r="F18" s="180" t="n">
        <x:f>('DCF'!$G$24+(('Scenarios'!$F$13*$B18*(1-'Assumptions'!$C$13)+'Scenarios'!$F$23-'Scenarios'!$F$13*F$15)*(1+'Assumptions'!$C$14)-'Scenarios'!$F$13*'Assumptions'!$C$14*'Assumptions'!$G$45)/('WACC'!$C$20-'Assumptions'!$C$14)/(1+'WACC'!$C$20)^'Scenarios'!$F$31+'DCF'!$C$14)/'DCF'!$C$16</x:f>
        <x:v>23.78376732720504</x:v>
      </x:c>
      <x:c r="G18" s="180" t="n">
        <x:f>('DCF'!$G$24+(('Scenarios'!$F$13*$B18*(1-'Assumptions'!$C$13)+'Scenarios'!$F$23-'Scenarios'!$F$13*G$15)*(1+'Assumptions'!$C$14)-'Scenarios'!$F$13*'Assumptions'!$C$14*'Assumptions'!$G$45)/('WACC'!$C$20-'Assumptions'!$C$14)/(1+'WACC'!$C$20)^'Scenarios'!$F$31+'DCF'!$C$14)/'DCF'!$C$16</x:f>
        <x:v>23.088245898608196</x:v>
      </x:c>
      <x:c r="H18" s="4"/>
      <x:c r="I18" s="4"/>
      <x:c r="J18" s="4"/>
      <x:c r="K18" s="4"/>
      <x:c r="L18" s="4"/>
      <x:c r="M18" s="4"/>
      <x:c r="N18" s="4"/>
    </x:row>
    <x:row r="19" ht="23" customHeight="1">
      <x:c r="A19" s="4"/>
      <x:c r="B19" s="45" t="n">
        <x:f>'Scenarios'!F21+0.01</x:f>
        <x:v>0.39118771125843504</x:v>
      </x:c>
      <x:c r="C19" s="180" t="n">
        <x:f>('DCF'!$G$24+(('Scenarios'!$F$13*$B19*(1-'Assumptions'!$C$13)+'Scenarios'!$F$23-'Scenarios'!$F$13*C$15)*(1+'Assumptions'!$C$14)-'Scenarios'!$F$13*'Assumptions'!$C$14*'Assumptions'!$G$45)/('WACC'!$C$20-'Assumptions'!$C$14)/(1+'WACC'!$C$20)^'Scenarios'!$F$31+'DCF'!$C$14)/'DCF'!$C$16</x:f>
        <x:v>26.41979354158708</x:v>
      </x:c>
      <x:c r="D19" s="180" t="n">
        <x:f>('DCF'!$G$24+(('Scenarios'!$F$13*$B19*(1-'Assumptions'!$C$13)+'Scenarios'!$F$23-'Scenarios'!$F$13*D$15)*(1+'Assumptions'!$C$14)-'Scenarios'!$F$13*'Assumptions'!$C$14*'Assumptions'!$G$45)/('WACC'!$C$20-'Assumptions'!$C$14)/(1+'WACC'!$C$20)^'Scenarios'!$F$31+'DCF'!$C$14)/'DCF'!$C$16</x:f>
        <x:v>25.724272112990235</x:v>
      </x:c>
      <x:c r="E19" s="180" t="n">
        <x:f>('DCF'!$G$24+(('Scenarios'!$F$13*$B19*(1-'Assumptions'!$C$13)+'Scenarios'!$F$23-'Scenarios'!$F$13*E$15)*(1+'Assumptions'!$C$14)-'Scenarios'!$F$13*'Assumptions'!$C$14*'Assumptions'!$G$45)/('WACC'!$C$20-'Assumptions'!$C$14)/(1+'WACC'!$C$20)^'Scenarios'!$F$31+'DCF'!$C$14)/'DCF'!$C$16</x:f>
        <x:v>25.028750684393394</x:v>
      </x:c>
      <x:c r="F19" s="180" t="n">
        <x:f>('DCF'!$G$24+(('Scenarios'!$F$13*$B19*(1-'Assumptions'!$C$13)+'Scenarios'!$F$23-'Scenarios'!$F$13*F$15)*(1+'Assumptions'!$C$14)-'Scenarios'!$F$13*'Assumptions'!$C$14*'Assumptions'!$G$45)/('WACC'!$C$20-'Assumptions'!$C$14)/(1+'WACC'!$C$20)^'Scenarios'!$F$31+'DCF'!$C$14)/'DCF'!$C$16</x:f>
        <x:v>24.33322925579655</x:v>
      </x:c>
      <x:c r="G19" s="180" t="n">
        <x:f>('DCF'!$G$24+(('Scenarios'!$F$13*$B19*(1-'Assumptions'!$C$13)+'Scenarios'!$F$23-'Scenarios'!$F$13*G$15)*(1+'Assumptions'!$C$14)-'Scenarios'!$F$13*'Assumptions'!$C$14*'Assumptions'!$G$45)/('WACC'!$C$20-'Assumptions'!$C$14)/(1+'WACC'!$C$20)^'Scenarios'!$F$31+'DCF'!$C$14)/'DCF'!$C$16</x:f>
        <x:v>23.6377078271997</x:v>
      </x:c>
      <x:c r="H19" s="4"/>
      <x:c r="I19" s="4"/>
      <x:c r="J19" s="4"/>
      <x:c r="K19" s="4"/>
      <x:c r="L19" s="4"/>
      <x:c r="M19" s="4"/>
      <x:c r="N19" s="4"/>
    </x:row>
    <x:row r="20" ht="23" customHeight="1">
      <x:c r="A20" s="4"/>
      <x:c r="B20" s="45" t="n">
        <x:f>'Scenarios'!F21+0.02</x:f>
        <x:v>0.40118771125843505</x:v>
      </x:c>
      <x:c r="C20" s="180" t="n">
        <x:f>('DCF'!$G$24+(('Scenarios'!$F$13*$B20*(1-'Assumptions'!$C$13)+'Scenarios'!$F$23-'Scenarios'!$F$13*C$15)*(1+'Assumptions'!$C$14)-'Scenarios'!$F$13*'Assumptions'!$C$14*'Assumptions'!$G$45)/('WACC'!$C$20-'Assumptions'!$C$14)/(1+'WACC'!$C$20)^'Scenarios'!$F$31+'DCF'!$C$14)/'DCF'!$C$16</x:f>
        <x:v>26.969255470178588</x:v>
      </x:c>
      <x:c r="D20" s="180" t="n">
        <x:f>('DCF'!$G$24+(('Scenarios'!$F$13*$B20*(1-'Assumptions'!$C$13)+'Scenarios'!$F$23-'Scenarios'!$F$13*D$15)*(1+'Assumptions'!$C$14)-'Scenarios'!$F$13*'Assumptions'!$C$14*'Assumptions'!$G$45)/('WACC'!$C$20-'Assumptions'!$C$14)/(1+'WACC'!$C$20)^'Scenarios'!$F$31+'DCF'!$C$14)/'DCF'!$C$16</x:f>
        <x:v>26.273734041581747</x:v>
      </x:c>
      <x:c r="E20" s="180" t="n">
        <x:f>('DCF'!$G$24+(('Scenarios'!$F$13*$B20*(1-'Assumptions'!$C$13)+'Scenarios'!$F$23-'Scenarios'!$F$13*E$15)*(1+'Assumptions'!$C$14)-'Scenarios'!$F$13*'Assumptions'!$C$14*'Assumptions'!$G$45)/('WACC'!$C$20-'Assumptions'!$C$14)/(1+'WACC'!$C$20)^'Scenarios'!$F$31+'DCF'!$C$14)/'DCF'!$C$16</x:f>
        <x:v>25.578212612984895</x:v>
      </x:c>
      <x:c r="F20" s="180" t="n">
        <x:f>('DCF'!$G$24+(('Scenarios'!$F$13*$B20*(1-'Assumptions'!$C$13)+'Scenarios'!$F$23-'Scenarios'!$F$13*F$15)*(1+'Assumptions'!$C$14)-'Scenarios'!$F$13*'Assumptions'!$C$14*'Assumptions'!$G$45)/('WACC'!$C$20-'Assumptions'!$C$14)/(1+'WACC'!$C$20)^'Scenarios'!$F$31+'DCF'!$C$14)/'DCF'!$C$16</x:f>
        <x:v>24.882691184388054</x:v>
      </x:c>
      <x:c r="G20" s="180" t="n">
        <x:f>('DCF'!$G$24+(('Scenarios'!$F$13*$B20*(1-'Assumptions'!$C$13)+'Scenarios'!$F$23-'Scenarios'!$F$13*G$15)*(1+'Assumptions'!$C$14)-'Scenarios'!$F$13*'Assumptions'!$C$14*'Assumptions'!$G$45)/('WACC'!$C$20-'Assumptions'!$C$14)/(1+'WACC'!$C$20)^'Scenarios'!$F$31+'DCF'!$C$14)/'DCF'!$C$16</x:f>
        <x:v>24.187169755791206</x:v>
      </x:c>
      <x:c r="H20" s="4"/>
      <x:c r="I20" s="4"/>
      <x:c r="J20" s="4"/>
      <x:c r="K20" s="4"/>
      <x:c r="L20" s="4"/>
      <x:c r="M20" s="4"/>
      <x:c r="N20" s="4"/>
    </x:row>
    <x:row r="21" ht="23" customHeight="1">
      <x:c r="A21" s="4"/>
      <x:c r="B21" s="4"/>
      <x:c r="C21" s="4"/>
      <x:c r="D21" s="4"/>
      <x:c r="E21" s="4"/>
      <x:c r="F21" s="4"/>
      <x:c r="G21" s="4"/>
      <x:c r="H21" s="4"/>
      <x:c r="I21" s="4"/>
      <x:c r="J21" s="4"/>
      <x:c r="K21" s="4"/>
      <x:c r="L21" s="4"/>
      <x:c r="M21" s="4"/>
      <x:c r="N21" s="4"/>
    </x:row>
    <x:row r="22" ht="23" customHeight="1">
      <x:c r="A22" s="4"/>
      <x:c r="B22" s="4"/>
      <x:c r="C22" s="4"/>
      <x:c r="D22" s="4"/>
      <x:c r="E22" s="4"/>
      <x:c r="F22" s="4"/>
      <x:c r="G22" s="4"/>
      <x:c r="H22" s="4"/>
      <x:c r="I22" s="4"/>
      <x:c r="J22" s="4"/>
      <x:c r="K22" s="4"/>
      <x:c r="L22" s="4"/>
      <x:c r="M22" s="4"/>
      <x:c r="N22" s="4"/>
    </x:row>
    <x:row r="23" ht="23" customHeight="1">
      <x:c r="A23" s="4"/>
      <x:c r="B23" s="4"/>
      <x:c r="C23" s="4"/>
      <x:c r="D23" s="4"/>
      <x:c r="E23" s="4"/>
      <x:c r="F23" s="4"/>
      <x:c r="G23" s="4"/>
      <x:c r="H23" s="4"/>
      <x:c r="I23" s="4"/>
      <x:c r="J23" s="4"/>
      <x:c r="K23" s="4"/>
      <x:c r="L23" s="4"/>
      <x:c r="M23" s="4"/>
      <x:c r="N23" s="4"/>
    </x:row>
    <x:row r="24" ht="25" customHeight="1">
      <x:c r="A24" s="4"/>
      <x:c r="B24" s="175" t="str">
        <x:v>Terminal Multiple vs. EBITDA Margin</x:v>
      </x:c>
      <x:c r="C24" s="61"/>
      <x:c r="D24" s="61"/>
      <x:c r="E24" s="61"/>
      <x:c r="F24" s="61"/>
      <x:c r="G24" s="61"/>
      <x:c r="H24" s="4"/>
      <x:c r="I24" s="4"/>
      <x:c r="J24" s="4"/>
      <x:c r="K24" s="4"/>
      <x:c r="L24" s="4"/>
      <x:c r="M24" s="4"/>
      <x:c r="N24" s="4"/>
    </x:row>
    <x:row r="25" ht="34" customHeight="1">
      <x:c r="A25" s="4"/>
      <x:c r="B25" s="178" t="str">
        <x:v>Exit multiple / EBITDA margin</x:v>
      </x:c>
      <x:c r="C25" s="76" t="n">
        <x:f>'Scenarios'!F30/'Scenarios'!F13-0.02</x:f>
        <x:v>0.40518771125843506</x:v>
      </x:c>
      <x:c r="D25" s="76" t="n">
        <x:f>'Scenarios'!F30/'Scenarios'!F13-0.01</x:f>
        <x:v>0.41518771125843507</x:v>
      </x:c>
      <x:c r="E25" s="76" t="n">
        <x:f>'Scenarios'!F30/'Scenarios'!F13+0</x:f>
        <x:v>0.4251877112584351</x:v>
      </x:c>
      <x:c r="F25" s="76" t="n">
        <x:f>'Scenarios'!F30/'Scenarios'!F13+0.01</x:f>
        <x:v>0.4351877112584351</x:v>
      </x:c>
      <x:c r="G25" s="76" t="n">
        <x:f>'Scenarios'!F30/'Scenarios'!F13+0.02</x:f>
        <x:v>0.4451877112584351</x:v>
      </x:c>
      <x:c r="H25" s="4"/>
      <x:c r="I25" s="4"/>
      <x:c r="J25" s="4"/>
      <x:c r="K25" s="4"/>
      <x:c r="L25" s="4"/>
      <x:c r="M25" s="4"/>
      <x:c r="N25" s="4"/>
    </x:row>
    <x:row r="26" ht="23" customHeight="1">
      <x:c r="A26" s="4"/>
      <x:c r="B26" s="182" t="n">
        <x:f>'Assumptions'!C15-4</x:f>
        <x:v>5.00213874959975</x:v>
      </x:c>
      <x:c r="C26" s="180" t="n">
        <x:f>('DCF'!$G$24+'Scenarios'!$F$13*C$25*$B26/(1+'WACC'!$C$20)^'Scenarios'!$F$31+'DCF'!$C$14)/'Assumptions'!$C$12</x:f>
        <x:v>16.46472820489636</x:v>
      </x:c>
      <x:c r="D26" s="180" t="n">
        <x:f>('DCF'!$G$24+'Scenarios'!$F$13*D$25*$B26/(1+'WACC'!$C$20)^'Scenarios'!$F$31+'DCF'!$C$14)/'Assumptions'!$C$12</x:f>
        <x:v>16.68735196059428</x:v>
      </x:c>
      <x:c r="E26" s="180" t="n">
        <x:f>('DCF'!$G$24+'Scenarios'!$F$13*E$25*$B26/(1+'WACC'!$C$20)^'Scenarios'!$F$31+'DCF'!$C$14)/'Assumptions'!$C$12</x:f>
        <x:v>16.909975716292198</x:v>
      </x:c>
      <x:c r="F26" s="180" t="n">
        <x:f>('DCF'!$G$24+'Scenarios'!$F$13*F$25*$B26/(1+'WACC'!$C$20)^'Scenarios'!$F$31+'DCF'!$C$14)/'Assumptions'!$C$12</x:f>
        <x:v>17.13259947199012</x:v>
      </x:c>
      <x:c r="G26" s="180" t="n">
        <x:f>('DCF'!$G$24+'Scenarios'!$F$13*G$25*$B26/(1+'WACC'!$C$20)^'Scenarios'!$F$31+'DCF'!$C$14)/'Assumptions'!$C$12</x:f>
        <x:v>17.355223227688036</x:v>
      </x:c>
      <x:c r="H26" s="4"/>
      <x:c r="I26" s="4"/>
      <x:c r="J26" s="4"/>
      <x:c r="K26" s="4"/>
      <x:c r="L26" s="4"/>
      <x:c r="M26" s="4"/>
      <x:c r="N26" s="4"/>
    </x:row>
    <x:row r="27" ht="23" customHeight="1">
      <x:c r="A27" s="4"/>
      <x:c r="B27" s="182" t="n">
        <x:f>'Assumptions'!C15-2</x:f>
        <x:v>7.00213874959975</x:v>
      </x:c>
      <x:c r="C27" s="180" t="n">
        <x:f>('DCF'!$G$24+'Scenarios'!$F$13*C$25*$B27/(1+'WACC'!$C$20)^'Scenarios'!$F$31+'DCF'!$C$14)/'Assumptions'!$C$12</x:f>
        <x:v>20.07136186935497</x:v>
      </x:c>
      <x:c r="D27" s="180" t="n">
        <x:f>('DCF'!$G$24+'Scenarios'!$F$13*D$25*$B27/(1+'WACC'!$C$20)^'Scenarios'!$F$31+'DCF'!$C$14)/'Assumptions'!$C$12</x:f>
        <x:v>20.382997052701004</x:v>
      </x:c>
      <x:c r="E27" s="180" t="n">
        <x:f>('DCF'!$G$24+'Scenarios'!$F$13*E$25*$B27/(1+'WACC'!$C$20)^'Scenarios'!$F$31+'DCF'!$C$14)/'Assumptions'!$C$12</x:f>
        <x:v>20.694632236047042</x:v>
      </x:c>
      <x:c r="F27" s="180" t="n">
        <x:f>('DCF'!$G$24+'Scenarios'!$F$13*F$25*$B27/(1+'WACC'!$C$20)^'Scenarios'!$F$31+'DCF'!$C$14)/'Assumptions'!$C$12</x:f>
        <x:v>21.00626741939308</x:v>
      </x:c>
      <x:c r="G27" s="180" t="n">
        <x:f>('DCF'!$G$24+'Scenarios'!$F$13*G$25*$B27/(1+'WACC'!$C$20)^'Scenarios'!$F$31+'DCF'!$C$14)/'Assumptions'!$C$12</x:f>
        <x:v>21.317902602739114</x:v>
      </x:c>
      <x:c r="H27" s="4"/>
      <x:c r="I27" s="4"/>
      <x:c r="J27" s="4"/>
      <x:c r="K27" s="4"/>
      <x:c r="L27" s="4"/>
      <x:c r="M27" s="4"/>
      <x:c r="N27" s="4"/>
    </x:row>
    <x:row r="28" ht="23" customHeight="1">
      <x:c r="A28" s="4"/>
      <x:c r="B28" s="182" t="n">
        <x:f>'Assumptions'!C15+0</x:f>
        <x:v>9.00213874959975</x:v>
      </x:c>
      <x:c r="C28" s="180" t="n">
        <x:f>('DCF'!$G$24+'Scenarios'!$F$13*C$25*$B28/(1+'WACC'!$C$20)^'Scenarios'!$F$31+'DCF'!$C$14)/'Assumptions'!$C$12</x:f>
        <x:v>23.67799553381358</x:v>
      </x:c>
      <x:c r="D28" s="180" t="n">
        <x:f>('DCF'!$G$24+'Scenarios'!$F$13*D$25*$B28/(1+'WACC'!$C$20)^'Scenarios'!$F$31+'DCF'!$C$14)/'Assumptions'!$C$12</x:f>
        <x:v>24.07864214480773</x:v>
      </x:c>
      <x:c r="E28" s="180" t="n">
        <x:f>('DCF'!$G$24+'Scenarios'!$F$13*E$25*$B28/(1+'WACC'!$C$20)^'Scenarios'!$F$31+'DCF'!$C$14)/'Assumptions'!$C$12</x:f>
        <x:v>24.479288755801882</x:v>
      </x:c>
      <x:c r="F28" s="180" t="n">
        <x:f>('DCF'!$G$24+'Scenarios'!$F$13*F$25*$B28/(1+'WACC'!$C$20)^'Scenarios'!$F$31+'DCF'!$C$14)/'Assumptions'!$C$12</x:f>
        <x:v>24.879935366796037</x:v>
      </x:c>
      <x:c r="G28" s="180" t="n">
        <x:f>('DCF'!$G$24+'Scenarios'!$F$13*G$25*$B28/(1+'WACC'!$C$20)^'Scenarios'!$F$31+'DCF'!$C$14)/'Assumptions'!$C$12</x:f>
        <x:v>25.280581977790185</x:v>
      </x:c>
      <x:c r="H28" s="4"/>
      <x:c r="I28" s="4"/>
      <x:c r="J28" s="4"/>
      <x:c r="K28" s="4"/>
      <x:c r="L28" s="4"/>
      <x:c r="M28" s="4"/>
      <x:c r="N28" s="4"/>
    </x:row>
    <x:row r="29" ht="23" customHeight="1">
      <x:c r="A29" s="4"/>
      <x:c r="B29" s="182" t="n">
        <x:f>'Assumptions'!C15+2</x:f>
        <x:v>11.00213874959975</x:v>
      </x:c>
      <x:c r="C29" s="180" t="n">
        <x:f>('DCF'!$G$24+'Scenarios'!$F$13*C$25*$B29/(1+'WACC'!$C$20)^'Scenarios'!$F$31+'DCF'!$C$14)/'Assumptions'!$C$12</x:f>
        <x:v>27.284629198272185</x:v>
      </x:c>
      <x:c r="D29" s="180" t="n">
        <x:f>('DCF'!$G$24+'Scenarios'!$F$13*D$25*$B29/(1+'WACC'!$C$20)^'Scenarios'!$F$31+'DCF'!$C$14)/'Assumptions'!$C$12</x:f>
        <x:v>27.774287236914454</x:v>
      </x:c>
      <x:c r="E29" s="180" t="n">
        <x:f>('DCF'!$G$24+'Scenarios'!$F$13*E$25*$B29/(1+'WACC'!$C$20)^'Scenarios'!$F$31+'DCF'!$C$14)/'Assumptions'!$C$12</x:f>
        <x:v>28.263945275556722</x:v>
      </x:c>
      <x:c r="F29" s="180" t="n">
        <x:f>('DCF'!$G$24+'Scenarios'!$F$13*F$25*$B29/(1+'WACC'!$C$20)^'Scenarios'!$F$31+'DCF'!$C$14)/'Assumptions'!$C$12</x:f>
        <x:v>28.75360331419899</x:v>
      </x:c>
      <x:c r="G29" s="180" t="n">
        <x:f>('DCF'!$G$24+'Scenarios'!$F$13*G$25*$B29/(1+'WACC'!$C$20)^'Scenarios'!$F$31+'DCF'!$C$14)/'Assumptions'!$C$12</x:f>
        <x:v>29.24326135284126</x:v>
      </x:c>
      <x:c r="H29" s="4"/>
      <x:c r="I29" s="4"/>
      <x:c r="J29" s="4"/>
      <x:c r="K29" s="4"/>
      <x:c r="L29" s="4"/>
      <x:c r="M29" s="4"/>
      <x:c r="N29" s="4"/>
    </x:row>
    <x:row r="30" ht="23" customHeight="1">
      <x:c r="A30" s="4"/>
      <x:c r="B30" s="182" t="n">
        <x:f>'Assumptions'!C15+4</x:f>
        <x:v>13.00213874959975</x:v>
      </x:c>
      <x:c r="C30" s="180" t="n">
        <x:f>('DCF'!$G$24+'Scenarios'!$F$13*C$25*$B30/(1+'WACC'!$C$20)^'Scenarios'!$F$31+'DCF'!$C$14)/'Assumptions'!$C$12</x:f>
        <x:v>30.89126286273079</x:v>
      </x:c>
      <x:c r="D30" s="180" t="n">
        <x:f>('DCF'!$G$24+'Scenarios'!$F$13*D$25*$B30/(1+'WACC'!$C$20)^'Scenarios'!$F$31+'DCF'!$C$14)/'Assumptions'!$C$12</x:f>
        <x:v>31.469932329021177</x:v>
      </x:c>
      <x:c r="E30" s="180" t="n">
        <x:f>('DCF'!$G$24+'Scenarios'!$F$13*E$25*$B30/(1+'WACC'!$C$20)^'Scenarios'!$F$31+'DCF'!$C$14)/'Assumptions'!$C$12</x:f>
        <x:v>32.04860179531156</x:v>
      </x:c>
      <x:c r="F30" s="180" t="n">
        <x:f>('DCF'!$G$24+'Scenarios'!$F$13*F$25*$B30/(1+'WACC'!$C$20)^'Scenarios'!$F$31+'DCF'!$C$14)/'Assumptions'!$C$12</x:f>
        <x:v>32.62727126160195</x:v>
      </x:c>
      <x:c r="G30" s="180" t="n">
        <x:f>('DCF'!$G$24+'Scenarios'!$F$13*G$25*$B30/(1+'WACC'!$C$20)^'Scenarios'!$F$31+'DCF'!$C$14)/'Assumptions'!$C$12</x:f>
        <x:v>33.20594072789233</x:v>
      </x:c>
      <x:c r="H30" s="4"/>
      <x:c r="I30" s="4"/>
      <x:c r="J30" s="4"/>
      <x:c r="K30" s="4"/>
      <x:c r="L30" s="4"/>
      <x:c r="M30" s="4"/>
      <x:c r="N30" s="4"/>
    </x:row>
    <x:row r="31" ht="23" customHeight="1">
      <x:c r="A31" s="4"/>
      <x:c r="B31" s="4"/>
      <x:c r="C31" s="4"/>
      <x:c r="D31" s="4"/>
      <x:c r="E31" s="4"/>
      <x:c r="F31" s="4"/>
      <x:c r="G31" s="4"/>
      <x:c r="H31" s="4"/>
      <x:c r="I31" s="4"/>
      <x:c r="J31" s="4"/>
      <x:c r="K31" s="4"/>
      <x:c r="L31" s="4"/>
      <x:c r="M31" s="4"/>
      <x:c r="N31" s="4"/>
    </x:row>
    <x:row r="32" ht="23" customHeight="1">
      <x:c r="A32" s="4"/>
      <x:c r="B32" s="4"/>
      <x:c r="C32" s="4"/>
      <x:c r="D32" s="4"/>
      <x:c r="E32" s="4"/>
      <x:c r="F32" s="4"/>
      <x:c r="G32" s="4"/>
      <x:c r="H32" s="4"/>
      <x:c r="I32" s="4"/>
      <x:c r="J32" s="4"/>
      <x:c r="K32" s="4"/>
      <x:c r="L32" s="4"/>
      <x:c r="M32" s="4"/>
      <x:c r="N32" s="4"/>
    </x:row>
    <x:row r="33" ht="23" customHeight="1">
      <x:c r="A33" s="4"/>
      <x:c r="B33" s="4"/>
      <x:c r="C33" s="4"/>
      <x:c r="D33" s="4"/>
      <x:c r="E33" s="4"/>
      <x:c r="F33" s="4"/>
      <x:c r="G33" s="4"/>
      <x:c r="H33" s="4"/>
      <x:c r="I33" s="4"/>
      <x:c r="J33" s="4"/>
      <x:c r="K33" s="4"/>
      <x:c r="L33" s="4"/>
      <x:c r="M33" s="4"/>
      <x:c r="N33" s="4"/>
    </x:row>
  </x:sheetData>
  <x:conditionalFormatting sqref="C6:G10">
    <x:cfRule type="colorScale" priority="1">
      <x:colorScale>
        <x:cfvo type="min"/>
        <x:cfvo type="percentile" val="50"/>
        <x:cfvo type="max"/>
        <x:color rgb="FFEBD7D2"/>
        <x:color rgb="FFFFFFFF"/>
        <x:color rgb="FFD5E6DF"/>
      </x:colorScale>
    </x:cfRule>
  </x:conditionalFormatting>
  <x:conditionalFormatting sqref="C16:G20">
    <x:cfRule type="colorScale" priority="2">
      <x:colorScale>
        <x:cfvo type="min"/>
        <x:cfvo type="percentile" val="50"/>
        <x:cfvo type="max"/>
        <x:color rgb="FFEBD7D2"/>
        <x:color rgb="FFFFFFFF"/>
        <x:color rgb="FFD5E6DF"/>
      </x:colorScale>
    </x:cfRule>
  </x:conditionalFormatting>
  <x:conditionalFormatting sqref="C26:G30">
    <x:cfRule type="colorScale" priority="3">
      <x:colorScale>
        <x:cfvo type="min"/>
        <x:cfvo type="percentile" val="50"/>
        <x:cfvo type="max"/>
        <x:color rgb="FFEBD7D2"/>
        <x:color rgb="FFFFFFFF"/>
        <x:color rgb="FFD5E6DF"/>
      </x:colorScale>
    </x:cfRule>
  </x:conditionalFormatting>
  <x:pageMargins left="0.7" right="0.7" top="0.75" bottom="0.75" header="0.3" footer="0.3"/>
</x:worksheet>
</file>

<file path=xl/worksheets/sheet4.xml><?xml version="1.0" encoding="utf-8"?>
<x:worksheet xmlns:x="http://schemas.openxmlformats.org/spreadsheetml/2006/main">
  <x:sheetPr>
    <x:tabColor rgb="FF205C95"/>
  </x:sheetPr>
  <x:sheetViews>
    <x:sheetView showGridLines="0" workbookViewId="0">
      <x:pane xSplit="2" ySplit="5" topLeftCell="C6" activePane="bottomRigh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ht="31" customHeight="1">
      <x:c r="A1" s="7"/>
      <x:c r="B1" s="19" t="str">
        <x:v>Operating &amp; Valuation Assumptions</x:v>
      </x:c>
      <x:c r="C1" s="19"/>
      <x:c r="D1" s="19"/>
      <x:c r="E1" s="19"/>
      <x:c r="F1" s="19"/>
      <x:c r="G1" s="19"/>
      <x:c r="H1" s="19"/>
      <x:c r="I1" s="19"/>
      <x:c r="J1" s="19"/>
    </x:row>
    <x:row r="2" ht="34" customHeight="1">
      <x:c r="A2" s="7"/>
      <x:c r="B2" s="23" t="str">
        <x:v>Blue text marks inputs. The base case sets the main DCF. Assumption Notes lists sources and tests.</x:v>
      </x:c>
      <x:c r="C2" s="23"/>
      <x:c r="D2" s="23"/>
      <x:c r="E2" s="23"/>
      <x:c r="F2" s="23"/>
      <x:c r="G2" s="23"/>
      <x:c r="H2" s="23"/>
      <x:c r="I2" s="23"/>
      <x:c r="J2" s="23"/>
    </x:row>
    <x:row r="3" ht="23" customHeight="1">
      <x:c r="A3" s="4"/>
      <x:c r="B3" s="4"/>
      <x:c r="C3" s="4"/>
      <x:c r="D3" s="4"/>
      <x:c r="E3" s="4"/>
      <x:c r="F3" s="4"/>
      <x:c r="G3" s="4"/>
      <x:c r="H3" s="4"/>
      <x:c r="I3" s="4"/>
      <x:c r="J3" s="4"/>
    </x:row>
    <x:row r="4" ht="80" customHeight="1">
      <x:c r="A4" s="4"/>
      <x:c r="B4" s="7" t="str">
        <x:v>Valuation Inputs and FY2026 Estimate</x:v>
      </x:c>
      <x:c r="C4" s="4"/>
      <x:c r="D4" s="4"/>
      <x:c r="E4" s="4"/>
      <x:c r="F4" s="4"/>
      <x:c r="G4" s="4"/>
      <x:c r="H4" s="4"/>
      <x:c r="I4" s="4"/>
      <x:c r="J4" s="7" t="str">
        <x:v>FY2026E uses nine months of reported results plus a Q4 estimate. It ended 31 July before the 5 August valuation, so baseline cash flow has no value in the DCF. FY2027 cash flow is prorated for remaining fiscal days, assuming even daily cash flow. FY2027-FY2030 discount periods use actual days to 31 July divided by 365. Cash uses the 30 April disclosure. The insurer vehicle share estimates the revenue split.</x:v>
      </x:c>
    </x:row>
    <x:row r="5" ht="34" customHeight="1">
      <x:c r="A5" s="4"/>
      <x:c r="B5" s="34" t="str">
        <x:v>Valuation date</x:v>
      </x:c>
      <x:c r="C5" s="117" t="n">
        <x:v>46239</x:v>
      </x:c>
      <x:c r="D5" s="36"/>
      <x:c r="E5" s="36"/>
      <x:c r="F5" s="36"/>
      <x:c r="G5" s="36"/>
      <x:c r="H5" s="36"/>
      <x:c r="I5" s="36"/>
      <x:c r="J5" s="36"/>
    </x:row>
    <x:row r="6" ht="28" customHeight="1">
      <x:c r="A6" s="4"/>
      <x:c r="B6" s="7" t="str">
        <x:v>Insurance-company share of vehicles processed (FY2025)</x:v>
      </x:c>
      <x:c r="C6" s="91" t="n">
        <x:v>0.81</x:v>
      </x:c>
      <x:c r="D6" s="4"/>
      <x:c r="E6" s="4"/>
      <x:c r="F6" s="4"/>
      <x:c r="G6" s="4"/>
      <x:c r="H6" s="4"/>
      <x:c r="I6" s="4"/>
      <x:c r="J6" s="4"/>
    </x:row>
    <x:row r="7" ht="28" customHeight="1">
      <x:c r="A7" s="4"/>
      <x:c r="B7" s="7" t="str">
        <x:v>Cash equivalents + HTM; disclosed-asset proxy</x:v>
      </x:c>
      <x:c r="C7" s="93" t="n">
        <x:v>3513.164</x:v>
      </x:c>
      <x:c r="D7" s="4"/>
      <x:c r="E7" s="4"/>
      <x:c r="F7" s="4"/>
      <x:c r="G7" s="4"/>
      <x:c r="H7" s="4"/>
      <x:c r="I7" s="4"/>
      <x:c r="J7" s="4"/>
    </x:row>
    <x:row r="8" ht="28" customHeight="1">
      <x:c r="A8" s="4"/>
      <x:c r="B8" s="7" t="str">
        <x:v>Operating-cash reserve as % FY2026E revenue</x:v>
      </x:c>
      <x:c r="C8" s="91" t="n">
        <x:v>0.15</x:v>
      </x:c>
      <x:c r="D8" s="4"/>
      <x:c r="E8" s="4"/>
      <x:c r="F8" s="4"/>
      <x:c r="G8" s="4"/>
      <x:c r="H8" s="4"/>
      <x:c r="I8" s="4"/>
      <x:c r="J8" s="4"/>
    </x:row>
    <x:row r="9" ht="23" customHeight="1">
      <x:c r="A9" s="4"/>
      <x:c r="B9" s="6" t="str">
        <x:v>Funded debt at 30 Apr 2026</x:v>
      </x:c>
      <x:c r="C9" s="93" t="n">
        <x:v>0</x:v>
      </x:c>
      <x:c r="D9" s="4"/>
      <x:c r="E9" s="4"/>
      <x:c r="F9" s="4"/>
      <x:c r="G9" s="4"/>
      <x:c r="H9" s="4"/>
      <x:c r="I9" s="4"/>
      <x:c r="J9" s="4"/>
    </x:row>
    <x:row r="10" ht="28" customHeight="1">
      <x:c r="A10" s="4"/>
      <x:c r="B10" s="7" t="str">
        <x:v>Operating / finance lease liabilities (combined)</x:v>
      </x:c>
      <x:c r="C10" s="93" t="n">
        <x:v>93.116</x:v>
      </x:c>
      <x:c r="D10" s="4"/>
      <x:c r="E10" s="4"/>
      <x:c r="F10" s="4"/>
      <x:c r="G10" s="4"/>
      <x:c r="H10" s="4"/>
      <x:c r="I10" s="4"/>
      <x:c r="J10" s="4"/>
    </x:row>
    <x:row r="11" ht="62" customHeight="1">
      <x:c r="A11" s="4"/>
      <x:c r="B11" s="7" t="str">
        <x:v>Current market price (5 Aug 2026 snapshot)</x:v>
      </x:c>
      <x:c r="C11" s="95" t="n">
        <x:v>28.91</x:v>
      </x:c>
      <x:c r="D11" s="4"/>
      <x:c r="E11" s="4"/>
      <x:c r="F11" s="7" t="str">
        <x:v>Current basic shares at 27 May 2026</x:v>
      </x:c>
      <x:c r="G11" s="97" t="n">
        <x:v>925.811482</x:v>
      </x:c>
      <x:c r="H11" s="37" t="str">
        <x:v>S15</x:v>
      </x:c>
      <x:c r="I11" s="22"/>
      <x:c r="J11" s="22"/>
      <x:c r="K11" s="122"/>
      <x:c r="L11" s="122"/>
    </x:row>
    <x:row r="12" ht="62" customHeight="1">
      <x:c r="A12" s="4"/>
      <x:c r="B12" s="7" t="str">
        <x:v>Diluted-share estimate from latest disclosure</x:v>
      </x:c>
      <x:c r="C12" s="100" t="n">
        <x:f>G11+G12</x:f>
        <x:v>932.2884819999999</x:v>
      </x:c>
      <x:c r="D12" s="4"/>
      <x:c r="E12" s="4"/>
      <x:c r="F12" s="7" t="str">
        <x:v>Q3 incremental award dilution (millions)</x:v>
      </x:c>
      <x:c r="G12" s="97" t="n">
        <x:v>6.477</x:v>
      </x:c>
      <x:c r="H12" s="37" t="str">
        <x:v>S15 / Note 4</x:v>
      </x:c>
      <x:c r="I12" s="22"/>
      <x:c r="J12" s="22"/>
      <x:c r="K12" s="122"/>
      <x:c r="L12" s="122"/>
    </x:row>
    <x:row r="13" ht="23" customHeight="1">
      <x:c r="A13" s="4"/>
      <x:c r="B13" s="6" t="str">
        <x:v>Forecast tax rate</x:v>
      </x:c>
      <x:c r="C13" s="91" t="n">
        <x:v>0.21</x:v>
      </x:c>
      <x:c r="D13" s="4"/>
      <x:c r="E13" s="4"/>
      <x:c r="F13" s="4"/>
      <x:c r="G13" s="4"/>
      <x:c r="H13" s="4"/>
      <x:c r="I13" s="4"/>
      <x:c r="J13" s="4"/>
    </x:row>
    <x:row r="14" ht="62" customHeight="1">
      <x:c r="A14" s="4"/>
      <x:c r="B14" s="6" t="str">
        <x:v>Perpetual terminal growth</x:v>
      </x:c>
      <x:c r="C14" s="102" t="n">
        <x:v>0.0275</x:v>
      </x:c>
      <x:c r="D14" s="4"/>
      <x:c r="E14" s="4"/>
      <x:c r="F14" s="7" t="str">
        <x:v>Redeemable minority interest (30 Apr 2026)</x:v>
      </x:c>
      <x:c r="G14" s="104" t="n">
        <x:v>17.181</x:v>
      </x:c>
      <x:c r="H14" s="37" t="str">
        <x:v>S15 balance sheet p.3. Uses carrying value</x:v>
      </x:c>
      <x:c r="I14" s="22"/>
      <x:c r="J14" s="22"/>
      <x:c r="K14" s="122"/>
      <x:c r="L14" s="122"/>
    </x:row>
    <x:row r="15" ht="62" customHeight="1">
      <x:c r="A15" s="4"/>
      <x:c r="B15" s="6" t="str">
        <x:v>Implied terminal EV / EBITDA</x:v>
      </x:c>
      <x:c r="C15" s="192" t="n">
        <x:f>'Scenarios'!B35/'Scenarios'!F30</x:f>
        <x:v>9.00213874959975</x:v>
      </x:c>
      <x:c r="D15" s="4"/>
      <x:c r="E15" s="4"/>
      <x:c r="F15" s="7" t="str">
        <x:v>Finance-lease liability estimate</x:v>
      </x:c>
      <x:c r="G15" s="108" t="n">
        <x:f>G19-G20</x:f>
        <x:v>2.694</x:v>
      </x:c>
      <x:c r="H15" s="37" t="str">
        <x:v>Estimate: latest separately disclosed finance liability less reported principal. No unreported changes assumed. S01 / S15.</x:v>
      </x:c>
      <x:c r="I15" s="22"/>
      <x:c r="J15" s="22"/>
      <x:c r="K15" s="122"/>
      <x:c r="L15" s="122"/>
    </x:row>
    <x:row r="16" ht="62" customHeight="1">
      <x:c r="A16" s="4"/>
      <x:c r="B16" s="7" t="str">
        <x:v>FY2026 9M U.S. service revenue (reported)</x:v>
      </x:c>
      <x:c r="C16" s="93" t="n">
        <x:v>2570.465</x:v>
      </x:c>
      <x:c r="D16" s="4"/>
      <x:c r="E16" s="4"/>
      <x:c r="F16" s="7" t="str">
        <x:v>Foreign cash disclosed (USDm)</x:v>
      </x:c>
      <x:c r="G16" s="110" t="n">
        <x:v>391.9</x:v>
      </x:c>
      <x:c r="H16" s="37" t="str">
        <x:v>S15 MD&amp;A: 30 Apr 2026. Included in the existing total reserve, not deducted twice.</x:v>
      </x:c>
      <x:c r="I16" s="22"/>
      <x:c r="J16" s="22"/>
      <x:c r="K16" s="122"/>
      <x:c r="L16" s="122"/>
    </x:row>
    <x:row r="17" ht="62" customHeight="1">
      <x:c r="A17" s="4"/>
      <x:c r="B17" s="7" t="str">
        <x:v>FY2025 9M U.S. service revenue (reported)</x:v>
      </x:c>
      <x:c r="C17" s="93" t="n">
        <x:v>2626.745</x:v>
      </x:c>
      <x:c r="D17" s="4"/>
      <x:c r="E17" s="4"/>
      <x:c r="F17" s="7" t="str">
        <x:v>Reserve allocated to foreign cash</x:v>
      </x:c>
      <x:c r="G17" s="113" t="n">
        <x:f>MIN(G16,'Scenarios'!B13*C8)</x:f>
        <x:v>391.9</x:v>
      </x:c>
      <x:c r="H17" s="37" t="str">
        <x:v>Conservatively earmarks reserve for all disclosed foreign cash; overlap with excluded residual is not separately known.</x:v>
      </x:c>
      <x:c r="I17" s="22"/>
      <x:c r="J17" s="22"/>
      <x:c r="K17" s="122"/>
      <x:c r="L17" s="122"/>
    </x:row>
    <x:row r="18" ht="62" customHeight="1">
      <x:c r="A18" s="4"/>
      <x:c r="B18" s="7" t="str">
        <x:v>FY2026 9M International service revenue (reported)</x:v>
      </x:c>
      <x:c r="C18" s="93" t="n">
        <x:v>429.511</x:v>
      </x:c>
      <x:c r="D18" s="4"/>
      <x:c r="E18" s="4"/>
      <x:c r="F18" s="7" t="str">
        <x:v>Remaining domestic reserve</x:v>
      </x:c>
      <x:c r="G18" s="113" t="n">
        <x:f>'Scenarios'!B13*C8-G17</x:f>
        <x:v>309.10651475</x:v>
      </x:c>
      <x:c r="H18" s="37" t="str">
        <x:v>Domestic liquidity reserve after the foreign earmark. Total reserve remains 15% of FY2026E revenue.</x:v>
      </x:c>
      <x:c r="I18" s="22"/>
      <x:c r="J18" s="22"/>
      <x:c r="K18" s="122"/>
      <x:c r="L18" s="122"/>
    </x:row>
    <x:row r="19" ht="62" customHeight="1">
      <x:c r="A19" s="4"/>
      <x:c r="B19" s="7" t="str">
        <x:v>FY2025 9M International service revenue (reported)</x:v>
      </x:c>
      <x:c r="C19" s="93" t="n">
        <x:v>385.708</x:v>
      </x:c>
      <x:c r="D19" s="4"/>
      <x:c r="E19" s="4"/>
      <x:c r="F19" s="7" t="str">
        <x:v>FY2025 finance-lease liability</x:v>
      </x:c>
      <x:c r="G19" s="110" t="n">
        <x:v>2.705</x:v>
      </x:c>
      <x:c r="H19" s="37" t="str">
        <x:v>S01, Note 5: 31 Jul 2025. Filed 25 Sep 2025.</x:v>
      </x:c>
      <x:c r="I19" s="22"/>
      <x:c r="J19" s="22"/>
      <x:c r="K19" s="122"/>
      <x:c r="L19" s="122"/>
    </x:row>
    <x:row r="20" ht="62" customHeight="1">
      <x:c r="A20" s="4"/>
      <x:c r="B20" s="7" t="str">
        <x:v>FY2026 9M vehicle sales (reported)</x:v>
      </x:c>
      <x:c r="C20" s="93" t="n">
        <x:v>513.794</x:v>
      </x:c>
      <x:c r="D20" s="4"/>
      <x:c r="E20" s="4"/>
      <x:c r="F20" s="7" t="str">
        <x:v>9M FY2026 finance-lease principal paid</x:v>
      </x:c>
      <x:c r="G20" s="110" t="n">
        <x:v>0.011</x:v>
      </x:c>
      <x:c r="H20" s="37" t="str">
        <x:v>S15 cash-flow statement: 9M to 30 Apr 2026; filed 29 May.</x:v>
      </x:c>
      <x:c r="I20" s="22"/>
      <x:c r="J20" s="22"/>
      <x:c r="K20" s="122"/>
      <x:c r="L20" s="122"/>
    </x:row>
    <x:row r="21" ht="28" customHeight="1">
      <x:c r="A21" s="4"/>
      <x:c r="B21" s="7" t="str">
        <x:v>FY2025 9M vehicle sales (reported)</x:v>
      </x:c>
      <x:c r="C21" s="93" t="n">
        <x:v>509.408</x:v>
      </x:c>
      <x:c r="D21" s="4"/>
      <x:c r="E21" s="4"/>
      <x:c r="F21" s="4"/>
      <x:c r="G21" s="4"/>
      <x:c r="H21" s="4"/>
      <x:c r="I21" s="4"/>
      <x:c r="J21" s="4"/>
    </x:row>
    <x:row r="22" ht="28" customHeight="1">
      <x:c r="A22" s="4"/>
      <x:c r="B22" s="7" t="str">
        <x:v>Q4E U.S. service-revenue growth vs FY2025 Q4</x:v>
      </x:c>
      <x:c r="C22" s="91" t="n">
        <x:v>0.025</x:v>
      </x:c>
      <x:c r="D22" s="4"/>
      <x:c r="E22" s="4"/>
      <x:c r="F22" s="4"/>
      <x:c r="G22" s="4"/>
      <x:c r="H22" s="4"/>
      <x:c r="I22" s="4"/>
      <x:c r="J22" s="4"/>
    </x:row>
    <x:row r="23" ht="28" customHeight="1">
      <x:c r="A23" s="4"/>
      <x:c r="B23" s="7" t="str">
        <x:v>Q4E International service-revenue growth vs FY2025 Q4</x:v>
      </x:c>
      <x:c r="C23" s="91" t="n">
        <x:v>0.08</x:v>
      </x:c>
      <x:c r="D23" s="4"/>
      <x:c r="E23" s="4"/>
      <x:c r="F23" s="4"/>
      <x:c r="G23" s="4"/>
      <x:c r="H23" s="4"/>
      <x:c r="I23" s="4"/>
      <x:c r="J23" s="4"/>
    </x:row>
    <x:row r="24" ht="28" customHeight="1">
      <x:c r="A24" s="4"/>
      <x:c r="B24" s="7" t="str">
        <x:v>Q4E vehicle-sales growth vs FY2025 Q4</x:v>
      </x:c>
      <x:c r="C24" s="91" t="n">
        <x:v>0.02</x:v>
      </x:c>
      <x:c r="D24" s="4"/>
      <x:c r="E24" s="4"/>
      <x:c r="F24" s="4"/>
      <x:c r="G24" s="4"/>
      <x:c r="H24" s="4"/>
      <x:c r="I24" s="4"/>
      <x:c r="J24" s="4"/>
    </x:row>
    <x:row r="25" ht="28" customHeight="1">
      <x:c r="A25" s="4"/>
      <x:c r="B25" s="7" t="str">
        <x:v>FY2026 9M operating income (reported)</x:v>
      </x:c>
      <x:c r="C25" s="93" t="n">
        <x:v>1283.686</x:v>
      </x:c>
      <x:c r="D25" s="4"/>
      <x:c r="E25" s="4"/>
      <x:c r="F25" s="4"/>
      <x:c r="G25" s="4"/>
      <x:c r="H25" s="4"/>
      <x:c r="I25" s="4"/>
      <x:c r="J25" s="4"/>
    </x:row>
    <x:row r="26" ht="23" customHeight="1">
      <x:c r="A26" s="4"/>
      <x:c r="B26" s="6" t="str">
        <x:v>FY2025 9M operating income</x:v>
      </x:c>
      <x:c r="C26" s="93" t="n">
        <x:v>1284.123</x:v>
      </x:c>
      <x:c r="D26" s="4"/>
      <x:c r="E26" s="4"/>
      <x:c r="F26" s="4"/>
      <x:c r="G26" s="4"/>
      <x:c r="H26" s="4"/>
      <x:c r="I26" s="4"/>
      <x:c r="J26" s="4"/>
    </x:row>
    <x:row r="27" ht="23" customHeight="1">
      <x:c r="A27" s="4"/>
      <x:c r="B27" s="6" t="str">
        <x:v>FY2026 9M D&amp;A (reported)</x:v>
      </x:c>
      <x:c r="C27" s="93" t="n">
        <x:v>168.799</x:v>
      </x:c>
      <x:c r="D27" s="4"/>
      <x:c r="E27" s="4"/>
      <x:c r="F27" s="4"/>
      <x:c r="G27" s="4"/>
      <x:c r="H27" s="4"/>
      <x:c r="I27" s="4"/>
      <x:c r="J27" s="4"/>
    </x:row>
    <x:row r="28" ht="23" customHeight="1">
      <x:c r="A28" s="4"/>
      <x:c r="B28" s="6" t="str">
        <x:v>FY2025 9M D&amp;A (reported)</x:v>
      </x:c>
      <x:c r="C28" s="93" t="n">
        <x:v>163.642</x:v>
      </x:c>
      <x:c r="D28" s="4"/>
      <x:c r="E28" s="4"/>
      <x:c r="F28" s="4"/>
      <x:c r="G28" s="4"/>
      <x:c r="H28" s="4"/>
      <x:c r="I28" s="4"/>
      <x:c r="J28" s="4"/>
    </x:row>
    <x:row r="29" ht="23" customHeight="1">
      <x:c r="A29" s="4"/>
      <x:c r="B29" s="4"/>
      <x:c r="C29" s="4"/>
      <x:c r="D29" s="4"/>
      <x:c r="E29" s="4"/>
      <x:c r="F29" s="4"/>
      <x:c r="G29" s="4"/>
      <x:c r="H29" s="4"/>
      <x:c r="I29" s="4"/>
      <x:c r="J29" s="4"/>
    </x:row>
    <x:row r="30" ht="25" customHeight="1">
      <x:c r="A30" s="4"/>
      <x:c r="B30" s="60" t="str">
        <x:v>Base Case</x:v>
      </x:c>
      <x:c r="C30" s="61"/>
      <x:c r="D30" s="61"/>
      <x:c r="E30" s="61"/>
      <x:c r="F30" s="61"/>
      <x:c r="G30" s="61"/>
      <x:c r="H30" s="61"/>
      <x:c r="I30" s="61"/>
      <x:c r="J30" s="61"/>
    </x:row>
    <x:row r="31" ht="34" customHeight="1">
      <x:c r="A31" s="4"/>
      <x:c r="B31" s="34" t="str">
        <x:v>Assumption</x:v>
      </x:c>
      <x:c r="C31" s="34" t="str">
        <x:v>FY2026E</x:v>
      </x:c>
      <x:c r="D31" s="34" t="str">
        <x:v>FY2027E</x:v>
      </x:c>
      <x:c r="E31" s="34" t="str">
        <x:v>FY2028E</x:v>
      </x:c>
      <x:c r="F31" s="34" t="str">
        <x:v>FY2029E</x:v>
      </x:c>
      <x:c r="G31" s="34" t="str">
        <x:v>FY2030E</x:v>
      </x:c>
      <x:c r="H31" s="36"/>
      <x:c r="I31" s="36"/>
      <x:c r="J31" s="36"/>
    </x:row>
    <x:row r="32" ht="28" customHeight="1">
      <x:c r="A32" s="4"/>
      <x:c r="B32" s="7" t="str">
        <x:v>U.S. insurance unit-volume growth</x:v>
      </x:c>
      <x:c r="C32" s="91" t="n">
        <x:v>0</x:v>
      </x:c>
      <x:c r="D32" s="91" t="n">
        <x:v>0.045</x:v>
      </x:c>
      <x:c r="E32" s="91" t="n">
        <x:v>0.042</x:v>
      </x:c>
      <x:c r="F32" s="91" t="n">
        <x:v>0.038</x:v>
      </x:c>
      <x:c r="G32" s="91" t="n">
        <x:v>0.033</x:v>
      </x:c>
      <x:c r="H32" s="4"/>
      <x:c r="I32" s="4"/>
      <x:c r="J32" s="4"/>
    </x:row>
    <x:row r="33" ht="28" customHeight="1">
      <x:c r="A33" s="4"/>
      <x:c r="B33" s="7" t="str">
        <x:v>U.S. insurance revenue-per-unit growth</x:v>
      </x:c>
      <x:c r="C33" s="91" t="n">
        <x:v>0</x:v>
      </x:c>
      <x:c r="D33" s="91" t="n">
        <x:v>0.026</x:v>
      </x:c>
      <x:c r="E33" s="91" t="n">
        <x:v>0.024</x:v>
      </x:c>
      <x:c r="F33" s="91" t="n">
        <x:v>0.022</x:v>
      </x:c>
      <x:c r="G33" s="91" t="n">
        <x:v>0.02</x:v>
      </x:c>
      <x:c r="H33" s="4"/>
      <x:c r="I33" s="4"/>
      <x:c r="J33" s="4"/>
    </x:row>
    <x:row r="34" ht="23" customHeight="1">
      <x:c r="A34" s="4"/>
      <x:c r="B34" s="6" t="str">
        <x:v>U.S. other unit-volume growth</x:v>
      </x:c>
      <x:c r="C34" s="91" t="n">
        <x:v>0</x:v>
      </x:c>
      <x:c r="D34" s="91" t="n">
        <x:v>0.055</x:v>
      </x:c>
      <x:c r="E34" s="91" t="n">
        <x:v>0.05</x:v>
      </x:c>
      <x:c r="F34" s="91" t="n">
        <x:v>0.045</x:v>
      </x:c>
      <x:c r="G34" s="91" t="n">
        <x:v>0.04</x:v>
      </x:c>
      <x:c r="H34" s="4"/>
      <x:c r="I34" s="4"/>
      <x:c r="J34" s="4"/>
    </x:row>
    <x:row r="35" ht="28" customHeight="1">
      <x:c r="A35" s="4"/>
      <x:c r="B35" s="7" t="str">
        <x:v>U.S. other revenue-per-unit growth</x:v>
      </x:c>
      <x:c r="C35" s="91" t="n">
        <x:v>0</x:v>
      </x:c>
      <x:c r="D35" s="91" t="n">
        <x:v>0.02</x:v>
      </x:c>
      <x:c r="E35" s="91" t="n">
        <x:v>0.02</x:v>
      </x:c>
      <x:c r="F35" s="91" t="n">
        <x:v>0.02</x:v>
      </x:c>
      <x:c r="G35" s="91" t="n">
        <x:v>0.02</x:v>
      </x:c>
      <x:c r="H35" s="4"/>
      <x:c r="I35" s="4"/>
      <x:c r="J35" s="4"/>
    </x:row>
    <x:row r="36" ht="23" customHeight="1">
      <x:c r="A36" s="4"/>
      <x:c r="B36" s="6" t="str">
        <x:v>International unit-volume growth</x:v>
      </x:c>
      <x:c r="C36" s="91" t="n">
        <x:v>0</x:v>
      </x:c>
      <x:c r="D36" s="91" t="n">
        <x:v>0.08</x:v>
      </x:c>
      <x:c r="E36" s="91" t="n">
        <x:v>0.07</x:v>
      </x:c>
      <x:c r="F36" s="91" t="n">
        <x:v>0.06</x:v>
      </x:c>
      <x:c r="G36" s="91" t="n">
        <x:v>0.05</x:v>
      </x:c>
      <x:c r="H36" s="4"/>
      <x:c r="I36" s="4"/>
      <x:c r="J36" s="4"/>
    </x:row>
    <x:row r="37" ht="28" customHeight="1">
      <x:c r="A37" s="4"/>
      <x:c r="B37" s="7" t="str">
        <x:v>International revenue-per-unit growth</x:v>
      </x:c>
      <x:c r="C37" s="91" t="n">
        <x:v>0</x:v>
      </x:c>
      <x:c r="D37" s="91" t="n">
        <x:v>0.025</x:v>
      </x:c>
      <x:c r="E37" s="91" t="n">
        <x:v>0.025</x:v>
      </x:c>
      <x:c r="F37" s="91" t="n">
        <x:v>0.023</x:v>
      </x:c>
      <x:c r="G37" s="91" t="n">
        <x:v>0.02</x:v>
      </x:c>
      <x:c r="H37" s="4"/>
      <x:c r="I37" s="4"/>
      <x:c r="J37" s="4"/>
    </x:row>
    <x:row r="38" ht="28" customHeight="1">
      <x:c r="A38" s="4"/>
      <x:c r="B38" s="7" t="str">
        <x:v>Owned-vehicle-sales revenue growth</x:v>
      </x:c>
      <x:c r="C38" s="91" t="n">
        <x:v>0</x:v>
      </x:c>
      <x:c r="D38" s="91" t="n">
        <x:v>0.02</x:v>
      </x:c>
      <x:c r="E38" s="91" t="n">
        <x:v>0.02</x:v>
      </x:c>
      <x:c r="F38" s="91" t="n">
        <x:v>0.015</x:v>
      </x:c>
      <x:c r="G38" s="91" t="n">
        <x:v>0.01</x:v>
      </x:c>
      <x:c r="H38" s="4"/>
      <x:c r="I38" s="4"/>
      <x:c r="J38" s="4"/>
    </x:row>
    <x:row r="39" ht="23" customHeight="1">
      <x:c r="A39" s="4"/>
      <x:c r="B39" s="6" t="str">
        <x:v>Facility costs / service revenue</x:v>
      </x:c>
      <x:c r="C39" s="91" t="n">
        <x:v>0.488</x:v>
      </x:c>
      <x:c r="D39" s="91" t="n">
        <x:v>0.49</x:v>
      </x:c>
      <x:c r="E39" s="91" t="n">
        <x:v>0.488</x:v>
      </x:c>
      <x:c r="F39" s="91" t="n">
        <x:v>0.487</x:v>
      </x:c>
      <x:c r="G39" s="91" t="n">
        <x:v>0.485</x:v>
      </x:c>
      <x:c r="H39" s="4"/>
      <x:c r="I39" s="4"/>
      <x:c r="J39" s="4"/>
    </x:row>
    <x:row r="40" ht="23" customHeight="1">
      <x:c r="A40" s="4"/>
      <x:c r="B40" s="6" t="str">
        <x:v>Vehicle costs / vehicle sales</x:v>
      </x:c>
      <x:c r="C40" s="91" t="n">
        <x:v>0.885</x:v>
      </x:c>
      <x:c r="D40" s="91" t="n">
        <x:v>0.885</x:v>
      </x:c>
      <x:c r="E40" s="91" t="n">
        <x:v>0.882</x:v>
      </x:c>
      <x:c r="F40" s="91" t="n">
        <x:v>0.88</x:v>
      </x:c>
      <x:c r="G40" s="91" t="n">
        <x:v>0.88</x:v>
      </x:c>
      <x:c r="H40" s="4"/>
      <x:c r="I40" s="4"/>
      <x:c r="J40" s="4"/>
    </x:row>
    <x:row r="41" ht="23" customHeight="1">
      <x:c r="A41" s="4"/>
      <x:c r="B41" s="6" t="str">
        <x:v>G&amp;A / total revenue</x:v>
      </x:c>
      <x:c r="C41" s="91" t="n">
        <x:v>0.092</x:v>
      </x:c>
      <x:c r="D41" s="91" t="n">
        <x:v>0.091</x:v>
      </x:c>
      <x:c r="E41" s="91" t="n">
        <x:v>0.089</x:v>
      </x:c>
      <x:c r="F41" s="91" t="n">
        <x:v>0.087</x:v>
      </x:c>
      <x:c r="G41" s="91" t="n">
        <x:v>0.085</x:v>
      </x:c>
      <x:c r="H41" s="4"/>
      <x:c r="I41" s="4"/>
      <x:c r="J41" s="4"/>
    </x:row>
    <x:row r="42" ht="23" customHeight="1">
      <x:c r="A42" s="4"/>
      <x:c r="B42" s="6" t="str">
        <x:v>D&amp;A / total revenue</x:v>
      </x:c>
      <x:c r="C42" s="91" t="n">
        <x:v>0.048</x:v>
      </x:c>
      <x:c r="D42" s="91" t="n">
        <x:v>0.047</x:v>
      </x:c>
      <x:c r="E42" s="91" t="n">
        <x:v>0.046</x:v>
      </x:c>
      <x:c r="F42" s="91" t="n">
        <x:v>0.045</x:v>
      </x:c>
      <x:c r="G42" s="91" t="n">
        <x:v>0.044</x:v>
      </x:c>
      <x:c r="H42" s="4"/>
      <x:c r="I42" s="4"/>
      <x:c r="J42" s="4"/>
    </x:row>
    <x:row r="43" ht="23" customHeight="1">
      <x:c r="A43" s="4"/>
      <x:c r="B43" s="6" t="str">
        <x:v>Total capex / total revenue</x:v>
      </x:c>
      <x:c r="C43" s="91" t="n">
        <x:v>0.105</x:v>
      </x:c>
      <x:c r="D43" s="91" t="n">
        <x:v>0.105</x:v>
      </x:c>
      <x:c r="E43" s="91" t="n">
        <x:v>0.1</x:v>
      </x:c>
      <x:c r="F43" s="91" t="n">
        <x:v>0.1</x:v>
      </x:c>
      <x:c r="G43" s="91" t="n">
        <x:v>0.1</x:v>
      </x:c>
      <x:c r="H43" s="4"/>
      <x:c r="I43" s="4"/>
      <x:c r="J43" s="4"/>
    </x:row>
    <x:row r="44" ht="23" customHeight="1">
      <x:c r="A44" s="4"/>
      <x:c r="B44" s="6" t="str">
        <x:v>Maintenance capex / D&amp;A</x:v>
      </x:c>
      <x:c r="C44" s="91" t="n">
        <x:v>0.7</x:v>
      </x:c>
      <x:c r="D44" s="91" t="n">
        <x:v>0.7</x:v>
      </x:c>
      <x:c r="E44" s="91" t="n">
        <x:v>0.7</x:v>
      </x:c>
      <x:c r="F44" s="91" t="n">
        <x:v>0.7</x:v>
      </x:c>
      <x:c r="G44" s="91" t="n">
        <x:v>0.7</x:v>
      </x:c>
      <x:c r="H44" s="4"/>
      <x:c r="I44" s="4"/>
      <x:c r="J44" s="4"/>
    </x:row>
    <x:row r="45" ht="28" customHeight="1">
      <x:c r="A45" s="4"/>
      <x:c r="B45" s="7" t="str">
        <x:v>NWC investment / incremental revenue</x:v>
      </x:c>
      <x:c r="C45" s="91" t="n">
        <x:v>0.01</x:v>
      </x:c>
      <x:c r="D45" s="91" t="n">
        <x:v>0.01</x:v>
      </x:c>
      <x:c r="E45" s="91" t="n">
        <x:v>0.009</x:v>
      </x:c>
      <x:c r="F45" s="91" t="n">
        <x:v>0.009</x:v>
      </x:c>
      <x:c r="G45" s="91" t="n">
        <x:v>0.008</x:v>
      </x:c>
      <x:c r="H45" s="4"/>
      <x:c r="I45" s="4"/>
      <x:c r="J45" s="4"/>
    </x:row>
    <x:row r="46" ht="23" customHeight="1">
      <x:c r="A46" s="4"/>
      <x:c r="B46" s="4"/>
      <x:c r="C46" s="4"/>
      <x:c r="D46" s="4"/>
      <x:c r="E46" s="4"/>
      <x:c r="F46" s="4"/>
      <x:c r="G46" s="4"/>
      <x:c r="H46" s="4"/>
      <x:c r="I46" s="4"/>
      <x:c r="J46" s="4"/>
    </x:row>
    <x:row r="47" ht="23" customHeight="1">
      <x:c r="A47" s="4"/>
      <x:c r="B47" s="4"/>
      <x:c r="C47" s="4"/>
      <x:c r="D47" s="4"/>
      <x:c r="E47" s="4"/>
      <x:c r="F47" s="4"/>
      <x:c r="G47" s="4"/>
      <x:c r="H47" s="4"/>
      <x:c r="I47" s="4"/>
      <x:c r="J47" s="4"/>
    </x:row>
    <x:row r="48" ht="25" customHeight="1">
      <x:c r="A48" s="4"/>
      <x:c r="B48" s="60" t="str">
        <x:v>Downside Case</x:v>
      </x:c>
      <x:c r="C48" s="61"/>
      <x:c r="D48" s="61"/>
      <x:c r="E48" s="61"/>
      <x:c r="F48" s="61"/>
      <x:c r="G48" s="61"/>
      <x:c r="H48" s="61"/>
      <x:c r="I48" s="61"/>
      <x:c r="J48" s="61"/>
    </x:row>
    <x:row r="49" ht="34" customHeight="1">
      <x:c r="A49" s="4"/>
      <x:c r="B49" s="34" t="str">
        <x:v>Assumption</x:v>
      </x:c>
      <x:c r="C49" s="34" t="str">
        <x:v>FY2026E</x:v>
      </x:c>
      <x:c r="D49" s="34" t="str">
        <x:v>FY2027E</x:v>
      </x:c>
      <x:c r="E49" s="34" t="str">
        <x:v>FY2028E</x:v>
      </x:c>
      <x:c r="F49" s="34" t="str">
        <x:v>FY2029E</x:v>
      </x:c>
      <x:c r="G49" s="34" t="str">
        <x:v>FY2030E</x:v>
      </x:c>
      <x:c r="H49" s="36"/>
      <x:c r="I49" s="36"/>
      <x:c r="J49" s="36"/>
    </x:row>
    <x:row r="50" ht="28" customHeight="1">
      <x:c r="A50" s="4"/>
      <x:c r="B50" s="7" t="str">
        <x:v>U.S. insurance unit-volume growth</x:v>
      </x:c>
      <x:c r="C50" s="91" t="n">
        <x:v>0</x:v>
      </x:c>
      <x:c r="D50" s="91" t="n">
        <x:v>0.01</x:v>
      </x:c>
      <x:c r="E50" s="91" t="n">
        <x:v>0.02</x:v>
      </x:c>
      <x:c r="F50" s="91" t="n">
        <x:v>0.025</x:v>
      </x:c>
      <x:c r="G50" s="91" t="n">
        <x:v>0.025</x:v>
      </x:c>
      <x:c r="H50" s="4"/>
      <x:c r="I50" s="4"/>
      <x:c r="J50" s="4"/>
    </x:row>
    <x:row r="51" ht="28" customHeight="1">
      <x:c r="A51" s="4"/>
      <x:c r="B51" s="7" t="str">
        <x:v>U.S. insurance revenue-per-unit growth</x:v>
      </x:c>
      <x:c r="C51" s="91" t="n">
        <x:v>0</x:v>
      </x:c>
      <x:c r="D51" s="91" t="n">
        <x:v>0.01</x:v>
      </x:c>
      <x:c r="E51" s="91" t="n">
        <x:v>0.012</x:v>
      </x:c>
      <x:c r="F51" s="91" t="n">
        <x:v>0.015</x:v>
      </x:c>
      <x:c r="G51" s="91" t="n">
        <x:v>0.015</x:v>
      </x:c>
      <x:c r="H51" s="4"/>
      <x:c r="I51" s="4"/>
      <x:c r="J51" s="4"/>
    </x:row>
    <x:row r="52" ht="23" customHeight="1">
      <x:c r="A52" s="4"/>
      <x:c r="B52" s="6" t="str">
        <x:v>U.S. other unit-volume growth</x:v>
      </x:c>
      <x:c r="C52" s="91" t="n">
        <x:v>0</x:v>
      </x:c>
      <x:c r="D52" s="91" t="n">
        <x:v>0.015</x:v>
      </x:c>
      <x:c r="E52" s="91" t="n">
        <x:v>0.02</x:v>
      </x:c>
      <x:c r="F52" s="91" t="n">
        <x:v>0.025</x:v>
      </x:c>
      <x:c r="G52" s="91" t="n">
        <x:v>0.025</x:v>
      </x:c>
      <x:c r="H52" s="4"/>
      <x:c r="I52" s="4"/>
      <x:c r="J52" s="4"/>
    </x:row>
    <x:row r="53" ht="28" customHeight="1">
      <x:c r="A53" s="4"/>
      <x:c r="B53" s="7" t="str">
        <x:v>U.S. other revenue-per-unit growth</x:v>
      </x:c>
      <x:c r="C53" s="91" t="n">
        <x:v>0</x:v>
      </x:c>
      <x:c r="D53" s="91" t="n">
        <x:v>0.01</x:v>
      </x:c>
      <x:c r="E53" s="91" t="n">
        <x:v>0.012</x:v>
      </x:c>
      <x:c r="F53" s="91" t="n">
        <x:v>0.015</x:v>
      </x:c>
      <x:c r="G53" s="91" t="n">
        <x:v>0.015</x:v>
      </x:c>
      <x:c r="H53" s="4"/>
      <x:c r="I53" s="4"/>
      <x:c r="J53" s="4"/>
    </x:row>
    <x:row r="54" ht="23" customHeight="1">
      <x:c r="A54" s="4"/>
      <x:c r="B54" s="6" t="str">
        <x:v>International unit-volume growth</x:v>
      </x:c>
      <x:c r="C54" s="91" t="n">
        <x:v>0</x:v>
      </x:c>
      <x:c r="D54" s="91" t="n">
        <x:v>0.04</x:v>
      </x:c>
      <x:c r="E54" s="91" t="n">
        <x:v>0.045</x:v>
      </x:c>
      <x:c r="F54" s="91" t="n">
        <x:v>0.045</x:v>
      </x:c>
      <x:c r="G54" s="91" t="n">
        <x:v>0.04</x:v>
      </x:c>
      <x:c r="H54" s="4"/>
      <x:c r="I54" s="4"/>
      <x:c r="J54" s="4"/>
    </x:row>
    <x:row r="55" ht="28" customHeight="1">
      <x:c r="A55" s="4"/>
      <x:c r="B55" s="7" t="str">
        <x:v>International revenue-per-unit growth</x:v>
      </x:c>
      <x:c r="C55" s="91" t="n">
        <x:v>0</x:v>
      </x:c>
      <x:c r="D55" s="91" t="n">
        <x:v>0.015</x:v>
      </x:c>
      <x:c r="E55" s="91" t="n">
        <x:v>0.015</x:v>
      </x:c>
      <x:c r="F55" s="91" t="n">
        <x:v>0.017</x:v>
      </x:c>
      <x:c r="G55" s="91" t="n">
        <x:v>0.017</x:v>
      </x:c>
      <x:c r="H55" s="4"/>
      <x:c r="I55" s="4"/>
      <x:c r="J55" s="4"/>
    </x:row>
    <x:row r="56" ht="28" customHeight="1">
      <x:c r="A56" s="4"/>
      <x:c r="B56" s="7" t="str">
        <x:v>Owned-vehicle-sales revenue growth</x:v>
      </x:c>
      <x:c r="C56" s="91" t="n">
        <x:v>0</x:v>
      </x:c>
      <x:c r="D56" s="91" t="n">
        <x:v>-0.02</x:v>
      </x:c>
      <x:c r="E56" s="91" t="n">
        <x:v>0</x:v>
      </x:c>
      <x:c r="F56" s="91" t="n">
        <x:v>0.005</x:v>
      </x:c>
      <x:c r="G56" s="91" t="n">
        <x:v>0.01</x:v>
      </x:c>
      <x:c r="H56" s="4"/>
      <x:c r="I56" s="4"/>
      <x:c r="J56" s="4"/>
    </x:row>
    <x:row r="57" ht="23" customHeight="1">
      <x:c r="A57" s="4"/>
      <x:c r="B57" s="6" t="str">
        <x:v>Facility costs / service revenue</x:v>
      </x:c>
      <x:c r="C57" s="91" t="n">
        <x:v>0.495</x:v>
      </x:c>
      <x:c r="D57" s="91" t="n">
        <x:v>0.495</x:v>
      </x:c>
      <x:c r="E57" s="91" t="n">
        <x:v>0.492</x:v>
      </x:c>
      <x:c r="F57" s="91" t="n">
        <x:v>0.49</x:v>
      </x:c>
      <x:c r="G57" s="91" t="n">
        <x:v>0.488</x:v>
      </x:c>
      <x:c r="H57" s="4"/>
      <x:c r="I57" s="4"/>
      <x:c r="J57" s="4"/>
    </x:row>
    <x:row r="58" ht="23" customHeight="1">
      <x:c r="A58" s="4"/>
      <x:c r="B58" s="6" t="str">
        <x:v>Vehicle costs / vehicle sales</x:v>
      </x:c>
      <x:c r="C58" s="91" t="n">
        <x:v>0.895</x:v>
      </x:c>
      <x:c r="D58" s="91" t="n">
        <x:v>0.895</x:v>
      </x:c>
      <x:c r="E58" s="91" t="n">
        <x:v>0.892</x:v>
      </x:c>
      <x:c r="F58" s="91" t="n">
        <x:v>0.89</x:v>
      </x:c>
      <x:c r="G58" s="91" t="n">
        <x:v>0.89</x:v>
      </x:c>
      <x:c r="H58" s="4"/>
      <x:c r="I58" s="4"/>
      <x:c r="J58" s="4"/>
    </x:row>
    <x:row r="59" ht="23" customHeight="1">
      <x:c r="A59" s="4"/>
      <x:c r="B59" s="6" t="str">
        <x:v>G&amp;A / total revenue</x:v>
      </x:c>
      <x:c r="C59" s="91" t="n">
        <x:v>0.098</x:v>
      </x:c>
      <x:c r="D59" s="91" t="n">
        <x:v>0.096</x:v>
      </x:c>
      <x:c r="E59" s="91" t="n">
        <x:v>0.094</x:v>
      </x:c>
      <x:c r="F59" s="91" t="n">
        <x:v>0.092</x:v>
      </x:c>
      <x:c r="G59" s="91" t="n">
        <x:v>0.09</x:v>
      </x:c>
      <x:c r="H59" s="4"/>
      <x:c r="I59" s="4"/>
      <x:c r="J59" s="4"/>
    </x:row>
    <x:row r="60" ht="23" customHeight="1">
      <x:c r="A60" s="4"/>
      <x:c r="B60" s="6" t="str">
        <x:v>D&amp;A / total revenue</x:v>
      </x:c>
      <x:c r="C60" s="91" t="n">
        <x:v>0.05</x:v>
      </x:c>
      <x:c r="D60" s="91" t="n">
        <x:v>0.05</x:v>
      </x:c>
      <x:c r="E60" s="91" t="n">
        <x:v>0.049</x:v>
      </x:c>
      <x:c r="F60" s="91" t="n">
        <x:v>0.048</x:v>
      </x:c>
      <x:c r="G60" s="91" t="n">
        <x:v>0.047</x:v>
      </x:c>
      <x:c r="H60" s="4"/>
      <x:c r="I60" s="4"/>
      <x:c r="J60" s="4"/>
    </x:row>
    <x:row r="61" ht="23" customHeight="1">
      <x:c r="A61" s="4"/>
      <x:c r="B61" s="6" t="str">
        <x:v>Total capex / total revenue</x:v>
      </x:c>
      <x:c r="C61" s="91" t="n">
        <x:v>0.11</x:v>
      </x:c>
      <x:c r="D61" s="91" t="n">
        <x:v>0.12</x:v>
      </x:c>
      <x:c r="E61" s="91" t="n">
        <x:v>0.115</x:v>
      </x:c>
      <x:c r="F61" s="91" t="n">
        <x:v>0.11</x:v>
      </x:c>
      <x:c r="G61" s="91" t="n">
        <x:v>0.105</x:v>
      </x:c>
      <x:c r="H61" s="4"/>
      <x:c r="I61" s="4"/>
      <x:c r="J61" s="4"/>
    </x:row>
    <x:row r="62" ht="23" customHeight="1">
      <x:c r="A62" s="4"/>
      <x:c r="B62" s="6" t="str">
        <x:v>Maintenance capex / D&amp;A</x:v>
      </x:c>
      <x:c r="C62" s="91" t="n">
        <x:v>0.72</x:v>
      </x:c>
      <x:c r="D62" s="91" t="n">
        <x:v>0.72</x:v>
      </x:c>
      <x:c r="E62" s="91" t="n">
        <x:v>0.72</x:v>
      </x:c>
      <x:c r="F62" s="91" t="n">
        <x:v>0.72</x:v>
      </x:c>
      <x:c r="G62" s="91" t="n">
        <x:v>0.72</x:v>
      </x:c>
      <x:c r="H62" s="4"/>
      <x:c r="I62" s="4"/>
      <x:c r="J62" s="4"/>
    </x:row>
    <x:row r="63" ht="28" customHeight="1">
      <x:c r="A63" s="4"/>
      <x:c r="B63" s="7" t="str">
        <x:v>NWC investment / incremental revenue</x:v>
      </x:c>
      <x:c r="C63" s="91" t="n">
        <x:v>0.012</x:v>
      </x:c>
      <x:c r="D63" s="91" t="n">
        <x:v>0.012</x:v>
      </x:c>
      <x:c r="E63" s="91" t="n">
        <x:v>0.011</x:v>
      </x:c>
      <x:c r="F63" s="91" t="n">
        <x:v>0.01</x:v>
      </x:c>
      <x:c r="G63" s="91" t="n">
        <x:v>0.01</x:v>
      </x:c>
      <x:c r="H63" s="4"/>
      <x:c r="I63" s="4"/>
      <x:c r="J63" s="4"/>
    </x:row>
    <x:row r="64" ht="23" customHeight="1">
      <x:c r="A64" s="4"/>
      <x:c r="B64" s="4"/>
      <x:c r="C64" s="4"/>
      <x:c r="D64" s="4"/>
      <x:c r="E64" s="4"/>
      <x:c r="F64" s="4"/>
      <x:c r="G64" s="4"/>
      <x:c r="H64" s="4"/>
      <x:c r="I64" s="4"/>
      <x:c r="J64" s="4"/>
    </x:row>
    <x:row r="65" ht="23" customHeight="1">
      <x:c r="A65" s="4"/>
      <x:c r="B65" s="4"/>
      <x:c r="C65" s="4"/>
      <x:c r="D65" s="4"/>
      <x:c r="E65" s="4"/>
      <x:c r="F65" s="4"/>
      <x:c r="G65" s="4"/>
      <x:c r="H65" s="4"/>
      <x:c r="I65" s="4"/>
      <x:c r="J65" s="4"/>
    </x:row>
    <x:row r="66" ht="25" customHeight="1">
      <x:c r="A66" s="4"/>
      <x:c r="B66" s="60" t="str">
        <x:v>Upside Case</x:v>
      </x:c>
      <x:c r="C66" s="61"/>
      <x:c r="D66" s="61"/>
      <x:c r="E66" s="61"/>
      <x:c r="F66" s="61"/>
      <x:c r="G66" s="61"/>
      <x:c r="H66" s="61"/>
      <x:c r="I66" s="61"/>
      <x:c r="J66" s="61"/>
    </x:row>
    <x:row r="67" ht="34" customHeight="1">
      <x:c r="A67" s="4"/>
      <x:c r="B67" s="34" t="str">
        <x:v>Assumption</x:v>
      </x:c>
      <x:c r="C67" s="34" t="str">
        <x:v>FY2026E</x:v>
      </x:c>
      <x:c r="D67" s="34" t="str">
        <x:v>FY2027E</x:v>
      </x:c>
      <x:c r="E67" s="34" t="str">
        <x:v>FY2028E</x:v>
      </x:c>
      <x:c r="F67" s="34" t="str">
        <x:v>FY2029E</x:v>
      </x:c>
      <x:c r="G67" s="34" t="str">
        <x:v>FY2030E</x:v>
      </x:c>
      <x:c r="H67" s="36"/>
      <x:c r="I67" s="36"/>
      <x:c r="J67" s="36"/>
    </x:row>
    <x:row r="68" ht="28" customHeight="1">
      <x:c r="A68" s="4"/>
      <x:c r="B68" s="7" t="str">
        <x:v>U.S. insurance unit-volume growth</x:v>
      </x:c>
      <x:c r="C68" s="91" t="n">
        <x:v>0</x:v>
      </x:c>
      <x:c r="D68" s="91" t="n">
        <x:v>0.07</x:v>
      </x:c>
      <x:c r="E68" s="91" t="n">
        <x:v>0.065</x:v>
      </x:c>
      <x:c r="F68" s="91" t="n">
        <x:v>0.055</x:v>
      </x:c>
      <x:c r="G68" s="91" t="n">
        <x:v>0.045</x:v>
      </x:c>
      <x:c r="H68" s="4"/>
      <x:c r="I68" s="4"/>
      <x:c r="J68" s="4"/>
    </x:row>
    <x:row r="69" ht="28" customHeight="1">
      <x:c r="A69" s="4"/>
      <x:c r="B69" s="7" t="str">
        <x:v>U.S. insurance revenue-per-unit growth</x:v>
      </x:c>
      <x:c r="C69" s="91" t="n">
        <x:v>0</x:v>
      </x:c>
      <x:c r="D69" s="91" t="n">
        <x:v>0.032</x:v>
      </x:c>
      <x:c r="E69" s="91" t="n">
        <x:v>0.03</x:v>
      </x:c>
      <x:c r="F69" s="91" t="n">
        <x:v>0.026</x:v>
      </x:c>
      <x:c r="G69" s="91" t="n">
        <x:v>0.023</x:v>
      </x:c>
      <x:c r="H69" s="4"/>
      <x:c r="I69" s="4"/>
      <x:c r="J69" s="4"/>
    </x:row>
    <x:row r="70" ht="23" customHeight="1">
      <x:c r="A70" s="4"/>
      <x:c r="B70" s="6" t="str">
        <x:v>U.S. other unit-volume growth</x:v>
      </x:c>
      <x:c r="C70" s="91" t="n">
        <x:v>0</x:v>
      </x:c>
      <x:c r="D70" s="91" t="n">
        <x:v>0.08</x:v>
      </x:c>
      <x:c r="E70" s="91" t="n">
        <x:v>0.07</x:v>
      </x:c>
      <x:c r="F70" s="91" t="n">
        <x:v>0.06</x:v>
      </x:c>
      <x:c r="G70" s="91" t="n">
        <x:v>0.05</x:v>
      </x:c>
      <x:c r="H70" s="4"/>
      <x:c r="I70" s="4"/>
      <x:c r="J70" s="4"/>
    </x:row>
    <x:row r="71" ht="28" customHeight="1">
      <x:c r="A71" s="4"/>
      <x:c r="B71" s="7" t="str">
        <x:v>U.S. other revenue-per-unit growth</x:v>
      </x:c>
      <x:c r="C71" s="91" t="n">
        <x:v>0</x:v>
      </x:c>
      <x:c r="D71" s="91" t="n">
        <x:v>0.025</x:v>
      </x:c>
      <x:c r="E71" s="91" t="n">
        <x:v>0.025</x:v>
      </x:c>
      <x:c r="F71" s="91" t="n">
        <x:v>0.023</x:v>
      </x:c>
      <x:c r="G71" s="91" t="n">
        <x:v>0.02</x:v>
      </x:c>
      <x:c r="H71" s="4"/>
      <x:c r="I71" s="4"/>
      <x:c r="J71" s="4"/>
    </x:row>
    <x:row r="72" ht="23" customHeight="1">
      <x:c r="A72" s="4"/>
      <x:c r="B72" s="6" t="str">
        <x:v>International unit-volume growth</x:v>
      </x:c>
      <x:c r="C72" s="91" t="n">
        <x:v>0</x:v>
      </x:c>
      <x:c r="D72" s="91" t="n">
        <x:v>0.1</x:v>
      </x:c>
      <x:c r="E72" s="91" t="n">
        <x:v>0.09</x:v>
      </x:c>
      <x:c r="F72" s="91" t="n">
        <x:v>0.08</x:v>
      </x:c>
      <x:c r="G72" s="91" t="n">
        <x:v>0.065</x:v>
      </x:c>
      <x:c r="H72" s="4"/>
      <x:c r="I72" s="4"/>
      <x:c r="J72" s="4"/>
    </x:row>
    <x:row r="73" ht="28" customHeight="1">
      <x:c r="A73" s="4"/>
      <x:c r="B73" s="7" t="str">
        <x:v>International revenue-per-unit growth</x:v>
      </x:c>
      <x:c r="C73" s="91" t="n">
        <x:v>0</x:v>
      </x:c>
      <x:c r="D73" s="91" t="n">
        <x:v>0.03</x:v>
      </x:c>
      <x:c r="E73" s="91" t="n">
        <x:v>0.03</x:v>
      </x:c>
      <x:c r="F73" s="91" t="n">
        <x:v>0.027</x:v>
      </x:c>
      <x:c r="G73" s="91" t="n">
        <x:v>0.023</x:v>
      </x:c>
      <x:c r="H73" s="4"/>
      <x:c r="I73" s="4"/>
      <x:c r="J73" s="4"/>
    </x:row>
    <x:row r="74" ht="28" customHeight="1">
      <x:c r="A74" s="4"/>
      <x:c r="B74" s="7" t="str">
        <x:v>Owned-vehicle-sales revenue growth</x:v>
      </x:c>
      <x:c r="C74" s="91" t="n">
        <x:v>0</x:v>
      </x:c>
      <x:c r="D74" s="91" t="n">
        <x:v>0.04</x:v>
      </x:c>
      <x:c r="E74" s="91" t="n">
        <x:v>0.035</x:v>
      </x:c>
      <x:c r="F74" s="91" t="n">
        <x:v>0.03</x:v>
      </x:c>
      <x:c r="G74" s="91" t="n">
        <x:v>0.02</x:v>
      </x:c>
      <x:c r="H74" s="4"/>
      <x:c r="I74" s="4"/>
      <x:c r="J74" s="4"/>
    </x:row>
    <x:row r="75" ht="23" customHeight="1">
      <x:c r="A75" s="4"/>
      <x:c r="B75" s="6" t="str">
        <x:v>Facility costs / service revenue</x:v>
      </x:c>
      <x:c r="C75" s="91" t="n">
        <x:v>0.48</x:v>
      </x:c>
      <x:c r="D75" s="91" t="n">
        <x:v>0.475</x:v>
      </x:c>
      <x:c r="E75" s="91" t="n">
        <x:v>0.47</x:v>
      </x:c>
      <x:c r="F75" s="91" t="n">
        <x:v>0.467</x:v>
      </x:c>
      <x:c r="G75" s="91" t="n">
        <x:v>0.465</x:v>
      </x:c>
      <x:c r="H75" s="4"/>
      <x:c r="I75" s="4"/>
      <x:c r="J75" s="4"/>
    </x:row>
    <x:row r="76" ht="23" customHeight="1">
      <x:c r="A76" s="4"/>
      <x:c r="B76" s="6" t="str">
        <x:v>Vehicle costs / vehicle sales</x:v>
      </x:c>
      <x:c r="C76" s="91" t="n">
        <x:v>0.88</x:v>
      </x:c>
      <x:c r="D76" s="91" t="n">
        <x:v>0.878</x:v>
      </x:c>
      <x:c r="E76" s="91" t="n">
        <x:v>0.875</x:v>
      </x:c>
      <x:c r="F76" s="91" t="n">
        <x:v>0.873</x:v>
      </x:c>
      <x:c r="G76" s="91" t="n">
        <x:v>0.87</x:v>
      </x:c>
      <x:c r="H76" s="4"/>
      <x:c r="I76" s="4"/>
      <x:c r="J76" s="4"/>
    </x:row>
    <x:row r="77" ht="23" customHeight="1">
      <x:c r="A77" s="4"/>
      <x:c r="B77" s="6" t="str">
        <x:v>G&amp;A / total revenue</x:v>
      </x:c>
      <x:c r="C77" s="91" t="n">
        <x:v>0.088</x:v>
      </x:c>
      <x:c r="D77" s="91" t="n">
        <x:v>0.084</x:v>
      </x:c>
      <x:c r="E77" s="91" t="n">
        <x:v>0.081</x:v>
      </x:c>
      <x:c r="F77" s="91" t="n">
        <x:v>0.078</x:v>
      </x:c>
      <x:c r="G77" s="91" t="n">
        <x:v>0.075</x:v>
      </x:c>
      <x:c r="H77" s="4"/>
      <x:c r="I77" s="4"/>
      <x:c r="J77" s="4"/>
    </x:row>
    <x:row r="78" ht="23" customHeight="1">
      <x:c r="A78" s="4"/>
      <x:c r="B78" s="6" t="str">
        <x:v>D&amp;A / total revenue</x:v>
      </x:c>
      <x:c r="C78" s="91" t="n">
        <x:v>0.047</x:v>
      </x:c>
      <x:c r="D78" s="91" t="n">
        <x:v>0.046</x:v>
      </x:c>
      <x:c r="E78" s="91" t="n">
        <x:v>0.045</x:v>
      </x:c>
      <x:c r="F78" s="91" t="n">
        <x:v>0.044</x:v>
      </x:c>
      <x:c r="G78" s="91" t="n">
        <x:v>0.043</x:v>
      </x:c>
      <x:c r="H78" s="4"/>
      <x:c r="I78" s="4"/>
      <x:c r="J78" s="4"/>
    </x:row>
    <x:row r="79" ht="23" customHeight="1">
      <x:c r="A79" s="4"/>
      <x:c r="B79" s="6" t="str">
        <x:v>Total capex / total revenue</x:v>
      </x:c>
      <x:c r="C79" s="91" t="n">
        <x:v>0.1</x:v>
      </x:c>
      <x:c r="D79" s="91" t="n">
        <x:v>0.1</x:v>
      </x:c>
      <x:c r="E79" s="91" t="n">
        <x:v>0.095</x:v>
      </x:c>
      <x:c r="F79" s="91" t="n">
        <x:v>0.09</x:v>
      </x:c>
      <x:c r="G79" s="91" t="n">
        <x:v>0.085</x:v>
      </x:c>
      <x:c r="H79" s="4"/>
      <x:c r="I79" s="4"/>
      <x:c r="J79" s="4"/>
    </x:row>
    <x:row r="80" ht="23" customHeight="1">
      <x:c r="A80" s="4"/>
      <x:c r="B80" s="6" t="str">
        <x:v>Maintenance capex / D&amp;A</x:v>
      </x:c>
      <x:c r="C80" s="91" t="n">
        <x:v>0.68</x:v>
      </x:c>
      <x:c r="D80" s="91" t="n">
        <x:v>0.68</x:v>
      </x:c>
      <x:c r="E80" s="91" t="n">
        <x:v>0.68</x:v>
      </x:c>
      <x:c r="F80" s="91" t="n">
        <x:v>0.68</x:v>
      </x:c>
      <x:c r="G80" s="91" t="n">
        <x:v>0.68</x:v>
      </x:c>
      <x:c r="H80" s="4"/>
      <x:c r="I80" s="4"/>
      <x:c r="J80" s="4"/>
    </x:row>
    <x:row r="81" ht="28" customHeight="1">
      <x:c r="A81" s="4"/>
      <x:c r="B81" s="7" t="str">
        <x:v>NWC investment / incremental revenue</x:v>
      </x:c>
      <x:c r="C81" s="91" t="n">
        <x:v>0.009</x:v>
      </x:c>
      <x:c r="D81" s="91" t="n">
        <x:v>0.008</x:v>
      </x:c>
      <x:c r="E81" s="91" t="n">
        <x:v>0.008</x:v>
      </x:c>
      <x:c r="F81" s="91" t="n">
        <x:v>0.007</x:v>
      </x:c>
      <x:c r="G81" s="91" t="n">
        <x:v>0.007</x:v>
      </x:c>
      <x:c r="H81" s="4"/>
      <x:c r="I81" s="4"/>
      <x:c r="J81" s="4"/>
    </x:row>
    <x:row r="82" ht="23" customHeight="1">
      <x:c r="A82" s="4"/>
      <x:c r="B82" s="4"/>
      <x:c r="C82" s="4"/>
      <x:c r="D82" s="4"/>
      <x:c r="E82" s="4"/>
      <x:c r="F82" s="4"/>
      <x:c r="G82" s="4"/>
      <x:c r="H82" s="4"/>
      <x:c r="I82" s="4"/>
      <x:c r="J82" s="4"/>
    </x:row>
    <x:row r="83" ht="23" customHeight="1">
      <x:c r="A83" s="4"/>
      <x:c r="B83" s="4"/>
      <x:c r="C83" s="4"/>
      <x:c r="D83" s="4"/>
      <x:c r="E83" s="4"/>
      <x:c r="F83" s="4"/>
      <x:c r="G83" s="4"/>
      <x:c r="H83" s="4"/>
      <x:c r="I83" s="4"/>
      <x:c r="J83" s="4"/>
    </x:row>
    <x:row r="84" ht="23" customHeight="1">
      <x:c r="A84" s="4"/>
      <x:c r="B84" s="4"/>
      <x:c r="C84" s="4"/>
      <x:c r="D84" s="4"/>
      <x:c r="E84" s="4"/>
      <x:c r="F84" s="4"/>
      <x:c r="G84" s="4"/>
      <x:c r="H84" s="4"/>
      <x:c r="I84" s="4"/>
      <x:c r="J84" s="4"/>
    </x:row>
  </x:sheetData>
  <x:mergeCells>
    <x:mergeCell ref="H15:J15"/>
    <x:mergeCell ref="H17:J17"/>
    <x:mergeCell ref="H11:L11"/>
    <x:mergeCell ref="H12:L12"/>
    <x:mergeCell ref="H14:L14"/>
    <x:mergeCell ref="H15:L15"/>
    <x:mergeCell ref="H16:L16"/>
    <x:mergeCell ref="H17:L17"/>
    <x:mergeCell ref="H18:L18"/>
    <x:mergeCell ref="H19:L19"/>
    <x:mergeCell ref="H20:L20"/>
  </x:mergeCells>
  <x:pageMargins left="0.7" right="0.7" top="0.75" bottom="0.75" header="0.3" footer="0.3"/>
</x:worksheet>
</file>

<file path=xl/worksheets/sheet5.xml><?xml version="1.0" encoding="utf-8"?>
<x:worksheet xmlns:x="http://schemas.openxmlformats.org/spreadsheetml/2006/main">
  <x:sheetPr>
    <x:tabColor rgb="FFC8D1D8"/>
  </x:sheetPr>
  <x:sheetViews>
    <x:sheetView showGridLines="0" workbookViewId="0">
      <x:pane xSplit="2" ySplit="5" topLeftCell="C6" activePane="bottomRigh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31" customHeight="1">
      <x:c r="A1" s="6"/>
      <x:c r="B1" s="19" t="str">
        <x:v>Base-Case Forecast</x:v>
      </x:c>
      <x:c r="C1" s="19"/>
      <x:c r="D1" s="19"/>
      <x:c r="E1" s="19"/>
      <x:c r="F1" s="19"/>
      <x:c r="G1" s="19"/>
      <x:c r="H1" s="19"/>
      <x:c r="I1" s="19"/>
      <x:c r="J1" s="19"/>
      <x:c r="K1" s="19"/>
      <x:c r="L1" s="19"/>
    </x:row>
    <x:row r="2" ht="34" customHeight="1">
      <x:c r="A2" s="7"/>
      <x:c r="B2" s="23" t="str">
        <x:v>FY2026E uses nine-month results plus a Q4 estimate. FY2027E-FY2030E use operating assumptions.</x:v>
      </x:c>
      <x:c r="C2" s="23"/>
      <x:c r="D2" s="23"/>
      <x:c r="E2" s="23"/>
      <x:c r="F2" s="23"/>
      <x:c r="G2" s="23"/>
      <x:c r="H2" s="23"/>
      <x:c r="I2" s="23"/>
      <x:c r="J2" s="23"/>
      <x:c r="K2" s="23"/>
      <x:c r="L2" s="23"/>
    </x:row>
    <x:row r="3" ht="23" customHeight="1">
      <x:c r="A3" s="4"/>
      <x:c r="B3" s="4"/>
      <x:c r="C3" s="4"/>
      <x:c r="D3" s="4"/>
      <x:c r="E3" s="4"/>
      <x:c r="F3" s="4"/>
      <x:c r="G3" s="4"/>
      <x:c r="H3" s="4"/>
      <x:c r="I3" s="4"/>
      <x:c r="J3" s="4"/>
      <x:c r="K3" s="4"/>
      <x:c r="L3" s="4"/>
    </x:row>
    <x:row r="4" ht="28" customHeight="1">
      <x:c r="A4" s="4"/>
      <x:c r="B4" s="7" t="str">
        <x:v>Income Statement, Cash Flow &amp; Reinvestment</x:v>
      </x:c>
      <x:c r="C4" s="4"/>
      <x:c r="D4" s="4"/>
      <x:c r="E4" s="4"/>
      <x:c r="F4" s="4"/>
      <x:c r="G4" s="4"/>
      <x:c r="H4" s="4"/>
      <x:c r="I4" s="4"/>
      <x:c r="J4" s="4"/>
      <x:c r="K4" s="4"/>
      <x:c r="L4" s="4"/>
    </x:row>
    <x:row r="5" ht="34" customHeight="1">
      <x:c r="A5" s="4"/>
      <x:c r="B5" s="34" t="str">
        <x:v>Metric</x:v>
      </x:c>
      <x:c r="C5" s="34" t="str">
        <x:v>FY2021A</x:v>
      </x:c>
      <x:c r="D5" s="34" t="str">
        <x:v>FY2022A</x:v>
      </x:c>
      <x:c r="E5" s="34" t="str">
        <x:v>FY2023A</x:v>
      </x:c>
      <x:c r="F5" s="34" t="str">
        <x:v>FY2024A</x:v>
      </x:c>
      <x:c r="G5" s="34" t="str">
        <x:v>FY2025A</x:v>
      </x:c>
      <x:c r="H5" s="34" t="str">
        <x:v>FY2026E</x:v>
      </x:c>
      <x:c r="I5" s="34" t="str">
        <x:v>FY2027E</x:v>
      </x:c>
      <x:c r="J5" s="34" t="str">
        <x:v>FY2028E</x:v>
      </x:c>
      <x:c r="K5" s="34" t="str">
        <x:v>FY2029E</x:v>
      </x:c>
      <x:c r="L5" s="34" t="str">
        <x:v>FY2030E</x:v>
      </x:c>
    </x:row>
    <x:row r="6" ht="23" customHeight="1">
      <x:c r="A6" s="4"/>
      <x:c r="B6" s="6" t="str">
        <x:v>Total revenue</x:v>
      </x:c>
      <x:c r="C6" s="124" t="n">
        <x:f>'Historical'!C6</x:f>
        <x:v>2692.511</x:v>
      </x:c>
      <x:c r="D6" s="124" t="n">
        <x:f>'Historical'!D6</x:f>
        <x:v>3500.921</x:v>
      </x:c>
      <x:c r="E6" s="124" t="n">
        <x:f>'Historical'!E6</x:f>
        <x:v>3869.518</x:v>
      </x:c>
      <x:c r="F6" s="124" t="n">
        <x:f>'Historical'!F6</x:f>
        <x:v>4236.823</x:v>
      </x:c>
      <x:c r="G6" s="124" t="n">
        <x:f>'Historical'!G6</x:f>
        <x:v>4646.958</x:v>
      </x:c>
      <x:c r="H6" s="124" t="n">
        <x:f>'Scenarios'!$B$13</x:f>
        <x:v>4673.376765</x:v>
      </x:c>
      <x:c r="I6" s="124" t="n">
        <x:f>'Scenarios'!$C$13</x:f>
        <x:v>4997.315792354528</x:v>
      </x:c>
      <x:c r="J6" s="124" t="n">
        <x:f>'Scenarios'!$D$13</x:f>
        <x:v>5320.882296919138</x:v>
      </x:c>
      <x:c r="K6" s="124" t="n">
        <x:f>'Scenarios'!$E$13</x:f>
        <x:v>5631.988594947772</x:v>
      </x:c>
      <x:c r="L6" s="124" t="n">
        <x:f>'Scenarios'!$F$13</x:f>
        <x:v>5921.307712359746</x:v>
      </x:c>
    </x:row>
    <x:row r="7" ht="23" customHeight="1">
      <x:c r="A7" s="4"/>
      <x:c r="B7" s="6" t="str">
        <x:v>Revenue growth</x:v>
      </x:c>
      <x:c r="C7" s="125" t="str">
        <x:v>N/M</x:v>
      </x:c>
      <x:c r="D7" s="127" t="n">
        <x:f>D6/C6-1</x:f>
        <x:v>0.3002438987250191</x:v>
      </x:c>
      <x:c r="E7" s="127" t="n">
        <x:f>E6/D6-1</x:f>
        <x:v>0.10528572338536057</x:v>
      </x:c>
      <x:c r="F7" s="127" t="n">
        <x:f>F6/E6-1</x:f>
        <x:v>0.09492267512387853</x:v>
      </x:c>
      <x:c r="G7" s="127" t="n">
        <x:f>G6/F6-1</x:f>
        <x:v>0.09680248620251519</x:v>
      </x:c>
      <x:c r="H7" s="127" t="n">
        <x:f>H6/G6-1</x:f>
        <x:v>0.00568517404289004</x:v>
      </x:c>
      <x:c r="I7" s="127" t="n">
        <x:f>I6/H6-1</x:f>
        <x:v>0.06931583812813513</x:v>
      </x:c>
      <x:c r="J7" s="127" t="n">
        <x:f>J6/I6-1</x:f>
        <x:v>0.06474806036065184</x:v>
      </x:c>
      <x:c r="K7" s="127" t="n">
        <x:f>K6/J6-1</x:f>
        <x:v>0.05846893065249148</x:v>
      </x:c>
      <x:c r="L7" s="127" t="n">
        <x:f>L6/K6-1</x:f>
        <x:v>0.05137068595478156</x:v>
      </x:c>
    </x:row>
    <x:row r="8" ht="23" customHeight="1">
      <x:c r="A8" s="4"/>
      <x:c r="B8" s="6" t="str">
        <x:v>Service revenue</x:v>
      </x:c>
      <x:c r="C8" s="124" t="n">
        <x:f>'Historical'!C7</x:f>
        <x:v>2291.867</x:v>
      </x:c>
      <x:c r="D8" s="124" t="n">
        <x:f>'Historical'!D7</x:f>
        <x:v>2853.04</x:v>
      </x:c>
      <x:c r="E8" s="124" t="n">
        <x:f>'Historical'!E7</x:f>
        <x:v>3198.128</x:v>
      </x:c>
      <x:c r="F8" s="124" t="n">
        <x:f>'Historical'!F7</x:f>
        <x:v>3561.002</x:v>
      </x:c>
      <x:c r="G8" s="124" t="n">
        <x:f>'Historical'!G7</x:f>
        <x:v>3968.662</x:v>
      </x:c>
      <x:c r="H8" s="124" t="n">
        <x:f>'Scenarios'!$B$11</x:f>
        <x:v>3987.317005</x:v>
      </x:c>
      <x:c r="I8" s="124" t="n">
        <x:f>'Scenarios'!$C$11</x:f>
        <x:v>4297.534837154528</x:v>
      </x:c>
      <x:c r="J8" s="124" t="n">
        <x:f>'Scenarios'!$D$11</x:f>
        <x:v>4607.105722615138</x:v>
      </x:c>
      <x:c r="K8" s="124" t="n">
        <x:f>'Scenarios'!$E$11</x:f>
        <x:v>4907.505372029213</x:v>
      </x:c>
      <x:c r="L8" s="124" t="n">
        <x:f>'Scenarios'!$F$11</x:f>
        <x:v>5189.579657212001</x:v>
      </x:c>
    </x:row>
    <x:row r="9" ht="23" customHeight="1">
      <x:c r="A9" s="4"/>
      <x:c r="B9" s="6" t="str">
        <x:v>Owned-vehicle sales</x:v>
      </x:c>
      <x:c r="C9" s="124" t="n">
        <x:f>'Historical'!C8</x:f>
        <x:v>400.644</x:v>
      </x:c>
      <x:c r="D9" s="124" t="n">
        <x:f>'Historical'!D8</x:f>
        <x:v>647.881</x:v>
      </x:c>
      <x:c r="E9" s="124" t="n">
        <x:f>'Historical'!E8</x:f>
        <x:v>671.39</x:v>
      </x:c>
      <x:c r="F9" s="124" t="n">
        <x:f>'Historical'!F8</x:f>
        <x:v>675.821</x:v>
      </x:c>
      <x:c r="G9" s="124" t="n">
        <x:f>'Historical'!G8</x:f>
        <x:v>678.296</x:v>
      </x:c>
      <x:c r="H9" s="124" t="n">
        <x:f>'Scenarios'!$B$12</x:f>
        <x:v>686.05976</x:v>
      </x:c>
      <x:c r="I9" s="124" t="n">
        <x:f>'Scenarios'!$C$12</x:f>
        <x:v>699.7809552</x:v>
      </x:c>
      <x:c r="J9" s="124" t="n">
        <x:f>'Scenarios'!$D$12</x:f>
        <x:v>713.776574304</x:v>
      </x:c>
      <x:c r="K9" s="124" t="n">
        <x:f>'Scenarios'!$E$12</x:f>
        <x:v>724.4832229185599</x:v>
      </x:c>
      <x:c r="L9" s="124" t="n">
        <x:f>'Scenarios'!$F$12</x:f>
        <x:v>731.7280551477455</x:v>
      </x:c>
    </x:row>
    <x:row r="10" ht="23" customHeight="1">
      <x:c r="A10" s="4"/>
      <x:c r="B10" s="6" t="str">
        <x:v>Facility / yard operations</x:v>
      </x:c>
      <x:c r="C10" s="124" t="n">
        <x:f>'Historical'!C13</x:f>
        <x:v>1003.292</x:v>
      </x:c>
      <x:c r="D10" s="124" t="n">
        <x:f>'Historical'!D13</x:f>
        <x:v>1309.497</x:v>
      </x:c>
      <x:c r="E10" s="124" t="n">
        <x:f>'Historical'!E13</x:f>
        <x:v>1518.029</x:v>
      </x:c>
      <x:c r="F10" s="124" t="n">
        <x:f>'Historical'!F13</x:f>
        <x:v>1710.084</x:v>
      </x:c>
      <x:c r="G10" s="124" t="n">
        <x:f>'Historical'!G13</x:f>
        <x:v>1944.318</x:v>
      </x:c>
      <x:c r="H10" s="124" t="n">
        <x:f>'Scenarios'!$B$15</x:f>
        <x:v>1945.81069844</x:v>
      </x:c>
      <x:c r="I10" s="124" t="n">
        <x:f>'Scenarios'!$C$15</x:f>
        <x:v>2105.7920702057186</x:v>
      </x:c>
      <x:c r="J10" s="124" t="n">
        <x:f>'Scenarios'!$D$15</x:f>
        <x:v>2248.267592636187</x:v>
      </x:c>
      <x:c r="K10" s="124" t="n">
        <x:f>'Scenarios'!$E$15</x:f>
        <x:v>2389.9551161782265</x:v>
      </x:c>
      <x:c r="L10" s="124" t="n">
        <x:f>'Scenarios'!$F$15</x:f>
        <x:v>2516.94613374782</x:v>
      </x:c>
    </x:row>
    <x:row r="11" ht="23" customHeight="1">
      <x:c r="A11" s="4"/>
      <x:c r="B11" s="6" t="str">
        <x:v>Cost of vehicle sales</x:v>
      </x:c>
      <x:c r="C11" s="124" t="n">
        <x:f>'Historical'!C14</x:f>
        <x:v>346.128</x:v>
      </x:c>
      <x:c r="D11" s="124" t="n">
        <x:f>'Historical'!D14</x:f>
        <x:v>585.203</x:v>
      </x:c>
      <x:c r="E11" s="124" t="n">
        <x:f>'Historical'!E14</x:f>
        <x:v>614.498</x:v>
      </x:c>
      <x:c r="F11" s="124" t="n">
        <x:f>'Historical'!F14</x:f>
        <x:v>619.487</x:v>
      </x:c>
      <x:c r="G11" s="124" t="n">
        <x:f>'Historical'!G14</x:f>
        <x:v>602.997</x:v>
      </x:c>
      <x:c r="H11" s="124" t="n">
        <x:f>'Scenarios'!$B$16</x:f>
        <x:v>607.1628876</x:v>
      </x:c>
      <x:c r="I11" s="124" t="n">
        <x:f>'Scenarios'!$C$16</x:f>
        <x:v>619.306145352</x:v>
      </x:c>
      <x:c r="J11" s="124" t="n">
        <x:f>'Scenarios'!$D$16</x:f>
        <x:v>629.550938536128</x:v>
      </x:c>
      <x:c r="K11" s="124" t="n">
        <x:f>'Scenarios'!$E$16</x:f>
        <x:v>637.5452361683327</x:v>
      </x:c>
      <x:c r="L11" s="124" t="n">
        <x:f>'Scenarios'!$F$16</x:f>
        <x:v>643.920688530016</x:v>
      </x:c>
    </x:row>
    <x:row r="12" ht="23" customHeight="1">
      <x:c r="A12" s="4"/>
      <x:c r="B12" s="6" t="str">
        <x:v>Gross profit</x:v>
      </x:c>
      <x:c r="C12" s="124" t="n">
        <x:f>'Historical'!C16</x:f>
        <x:v>1343.0910000000001</x:v>
      </x:c>
      <x:c r="D12" s="124" t="n">
        <x:f>'Historical'!D16</x:f>
        <x:v>1606.221</x:v>
      </x:c>
      <x:c r="E12" s="124" t="n">
        <x:f>'Historical'!E16</x:f>
        <x:v>1736.991</x:v>
      </x:c>
      <x:c r="F12" s="124" t="n">
        <x:f>'Historical'!F16</x:f>
        <x:v>1907.2520000000004</x:v>
      </x:c>
      <x:c r="G12" s="124" t="n">
        <x:f>'Historical'!G16</x:f>
        <x:v>2099.6429999999996</x:v>
      </x:c>
      <x:c r="H12" s="124" t="n">
        <x:f>'Scenarios'!$B$17</x:f>
        <x:v>2120.40317896</x:v>
      </x:c>
      <x:c r="I12" s="124" t="n">
        <x:f>'Scenarios'!$C$17</x:f>
        <x:v>2272.217576796809</x:v>
      </x:c>
      <x:c r="J12" s="124" t="n">
        <x:f>'Scenarios'!$D$17</x:f>
        <x:v>2443.063765746823</x:v>
      </x:c>
      <x:c r="K12" s="124" t="n">
        <x:f>'Scenarios'!$E$17</x:f>
        <x:v>2604.4882426012127</x:v>
      </x:c>
      <x:c r="L12" s="124" t="n">
        <x:f>'Scenarios'!$F$17</x:f>
        <x:v>2760.44089008191</x:v>
      </x:c>
    </x:row>
    <x:row r="13" ht="23" customHeight="1">
      <x:c r="A13" s="4"/>
      <x:c r="B13" s="6" t="str">
        <x:v>Gross margin</x:v>
      </x:c>
      <x:c r="C13" s="129" t="n">
        <x:f>'Historical'!C17</x:f>
        <x:v>0.498824703037425</x:v>
      </x:c>
      <x:c r="D13" s="129" t="n">
        <x:f>'Historical'!D17</x:f>
        <x:v>0.4587995558882934</x:v>
      </x:c>
      <x:c r="E13" s="129" t="n">
        <x:f>'Historical'!E17</x:f>
        <x:v>0.44889079208314836</x:v>
      </x:c>
      <x:c r="F13" s="129" t="n">
        <x:f>'Historical'!F17</x:f>
        <x:v>0.4501608870608945</x:v>
      </x:c>
      <x:c r="G13" s="129" t="n">
        <x:f>'Historical'!G17</x:f>
        <x:v>0.45183171442479136</x:v>
      </x:c>
      <x:c r="H13" s="129" t="n">
        <x:f>'Scenarios'!$B$18</x:f>
        <x:v>0.4537197160819966</x:v>
      </x:c>
      <x:c r="I13" s="129" t="n">
        <x:f>'Scenarios'!$C$18</x:f>
        <x:v>0.4546876105514706</x:v>
      </x:c>
      <x:c r="J13" s="129" t="n">
        <x:f>'Scenarios'!$D$18</x:f>
        <x:v>0.45914636509839535</x:v>
      </x:c>
      <x:c r="K13" s="129" t="n">
        <x:f>'Scenarios'!$E$18</x:f>
        <x:v>0.4624455818212404</x:v>
      </x:c>
      <x:c r="L13" s="129" t="n">
        <x:f>'Scenarios'!$F$18</x:f>
        <x:v>0.46618771125843506</x:v>
      </x:c>
    </x:row>
    <x:row r="14" ht="23" customHeight="1">
      <x:c r="A14" s="4"/>
      <x:c r="B14" s="6" t="str">
        <x:v>General &amp; administrative</x:v>
      </x:c>
      <x:c r="C14" s="124" t="n">
        <x:f>'Historical'!C15</x:f>
        <x:v>206.665</x:v>
      </x:c>
      <x:c r="D14" s="124" t="n">
        <x:f>'Historical'!D15</x:f>
        <x:v>231.224</x:v>
      </x:c>
      <x:c r="E14" s="124" t="n">
        <x:f>'Historical'!E15</x:f>
        <x:v>250.422</x:v>
      </x:c>
      <x:c r="F14" s="124" t="n">
        <x:f>'Historical'!F15</x:f>
        <x:v>335.229</x:v>
      </x:c>
      <x:c r="G14" s="124" t="n">
        <x:f>'Historical'!G15</x:f>
        <x:v>402.929</x:v>
      </x:c>
      <x:c r="H14" s="124" t="n">
        <x:f>'Scenarios'!$B$19</x:f>
        <x:v>429.95066238</x:v>
      </x:c>
      <x:c r="I14" s="124" t="n">
        <x:f>'Scenarios'!$C$19</x:f>
        <x:v>454.75573710426204</x:v>
      </x:c>
      <x:c r="J14" s="124" t="n">
        <x:f>'Scenarios'!$D$19</x:f>
        <x:v>473.5585244258032</x:v>
      </x:c>
      <x:c r="K14" s="124" t="n">
        <x:f>'Scenarios'!$E$19</x:f>
        <x:v>489.98300776045613</x:v>
      </x:c>
      <x:c r="L14" s="124" t="n">
        <x:f>'Scenarios'!$F$19</x:f>
        <x:v>503.31115555057846</x:v>
      </x:c>
    </x:row>
    <x:row r="15" ht="23" customHeight="1">
      <x:c r="A15" s="4"/>
      <x:c r="B15" s="6" t="str">
        <x:v>EBIT</x:v>
      </x:c>
      <x:c r="C15" s="124" t="n">
        <x:f>'Historical'!C18</x:f>
        <x:v>1136.426</x:v>
      </x:c>
      <x:c r="D15" s="124" t="n">
        <x:f>'Historical'!D18</x:f>
        <x:v>1374.997</x:v>
      </x:c>
      <x:c r="E15" s="124" t="n">
        <x:f>'Historical'!E18</x:f>
        <x:v>1486.569</x:v>
      </x:c>
      <x:c r="F15" s="124" t="n">
        <x:f>'Historical'!F18</x:f>
        <x:v>1572.023</x:v>
      </x:c>
      <x:c r="G15" s="124" t="n">
        <x:f>'Historical'!G18</x:f>
        <x:v>1696.714</x:v>
      </x:c>
      <x:c r="H15" s="124" t="n">
        <x:f>'Scenarios'!$B$20</x:f>
        <x:v>1690.4525165799998</x:v>
      </x:c>
      <x:c r="I15" s="124" t="n">
        <x:f>'Scenarios'!$C$20</x:f>
        <x:v>1817.461839692547</x:v>
      </x:c>
      <x:c r="J15" s="124" t="n">
        <x:f>'Scenarios'!$D$20</x:f>
        <x:v>1969.5052413210196</x:v>
      </x:c>
      <x:c r="K15" s="124" t="n">
        <x:f>'Scenarios'!$E$20</x:f>
        <x:v>2114.5052348407567</x:v>
      </x:c>
      <x:c r="L15" s="124" t="n">
        <x:f>'Scenarios'!$F$20</x:f>
        <x:v>2257.1297345313315</x:v>
      </x:c>
    </x:row>
    <x:row r="16" ht="23" customHeight="1">
      <x:c r="A16" s="4"/>
      <x:c r="B16" s="6" t="str">
        <x:v>Operating margin</x:v>
      </x:c>
      <x:c r="C16" s="129" t="n">
        <x:f>'Historical'!C19</x:f>
        <x:v>0.42206921345910936</x:v>
      </x:c>
      <x:c r="D16" s="129" t="n">
        <x:f>'Historical'!D19</x:f>
        <x:v>0.3927529355846648</x:v>
      </x:c>
      <x:c r="E16" s="129" t="n">
        <x:f>'Historical'!E19</x:f>
        <x:v>0.38417420464254204</x:v>
      </x:c>
      <x:c r="F16" s="129" t="n">
        <x:f>'Historical'!F19</x:f>
        <x:v>0.3710381576006361</x:v>
      </x:c>
      <x:c r="G16" s="129" t="n">
        <x:f>'Historical'!G19</x:f>
        <x:v>0.36512359268149186</x:v>
      </x:c>
      <x:c r="H16" s="129" t="n">
        <x:f>'Scenarios'!$B$21</x:f>
        <x:v>0.3617197160819966</x:v>
      </x:c>
      <x:c r="I16" s="129" t="n">
        <x:f>'Scenarios'!$C$21</x:f>
        <x:v>0.3636876105514706</x:v>
      </x:c>
      <x:c r="J16" s="129" t="n">
        <x:f>'Scenarios'!$D$21</x:f>
        <x:v>0.3701463650983953</x:v>
      </x:c>
      <x:c r="K16" s="129" t="n">
        <x:f>'Scenarios'!$E$21</x:f>
        <x:v>0.37544558182124044</x:v>
      </x:c>
      <x:c r="L16" s="129" t="n">
        <x:f>'Scenarios'!$F$21</x:f>
        <x:v>0.38118771125843504</x:v>
      </x:c>
    </x:row>
    <x:row r="17" ht="23" customHeight="1">
      <x:c r="A17" s="4"/>
      <x:c r="B17" s="6" t="str">
        <x:v>D&amp;A</x:v>
      </x:c>
      <x:c r="C17" s="124" t="n">
        <x:f>'Historical'!C22</x:f>
        <x:v>123.084</x:v>
      </x:c>
      <x:c r="D17" s="124" t="n">
        <x:f>'Historical'!D22</x:f>
        <x:v>138.605</x:v>
      </x:c>
      <x:c r="E17" s="124" t="n">
        <x:f>'Historical'!E22</x:f>
        <x:v>159.684</x:v>
      </x:c>
      <x:c r="F17" s="124" t="n">
        <x:f>'Historical'!F22</x:f>
        <x:v>190.256</x:v>
      </x:c>
      <x:c r="G17" s="124" t="n">
        <x:f>'Historical'!G22</x:f>
        <x:v>217.784</x:v>
      </x:c>
      <x:c r="H17" s="124" t="n">
        <x:f>'Scenarios'!$B$23</x:f>
        <x:v>224.32208472</x:v>
      </x:c>
      <x:c r="I17" s="124" t="n">
        <x:f>'Scenarios'!$C$23</x:f>
        <x:v>234.8738422406628</x:v>
      </x:c>
      <x:c r="J17" s="124" t="n">
        <x:f>'Scenarios'!$D$23</x:f>
        <x:v>244.76058565828035</x:v>
      </x:c>
      <x:c r="K17" s="124" t="n">
        <x:f>'Scenarios'!$E$23</x:f>
        <x:v>253.43948677264973</x:v>
      </x:c>
      <x:c r="L17" s="124" t="n">
        <x:f>'Scenarios'!$F$23</x:f>
        <x:v>260.5375393438288</x:v>
      </x:c>
    </x:row>
    <x:row r="18" ht="23" customHeight="1">
      <x:c r="A18" s="4"/>
      <x:c r="B18" s="6" t="str">
        <x:v>Total capex</x:v>
      </x:c>
      <x:c r="C18" s="124" t="n">
        <x:f>'Historical'!C25</x:f>
        <x:v>467.996</x:v>
      </x:c>
      <x:c r="D18" s="124" t="n">
        <x:f>'Historical'!D25</x:f>
        <x:v>444.052</x:v>
      </x:c>
      <x:c r="E18" s="124" t="n">
        <x:f>'Historical'!E25</x:f>
        <x:v>516.636</x:v>
      </x:c>
      <x:c r="F18" s="124" t="n">
        <x:f>'Historical'!F25</x:f>
        <x:v>493.328</x:v>
      </x:c>
      <x:c r="G18" s="124" t="n">
        <x:f>'Historical'!G25</x:f>
        <x:v>570.213</x:v>
      </x:c>
      <x:c r="H18" s="124" t="n">
        <x:f>'Scenarios'!$B$24</x:f>
        <x:v>490.704560325</x:v>
      </x:c>
      <x:c r="I18" s="124" t="n">
        <x:f>'Scenarios'!$C$24</x:f>
        <x:v>524.7181581972254</x:v>
      </x:c>
      <x:c r="J18" s="124" t="n">
        <x:f>'Scenarios'!$D$24</x:f>
        <x:v>532.0882296919139</x:v>
      </x:c>
      <x:c r="K18" s="124" t="n">
        <x:f>'Scenarios'!$E$24</x:f>
        <x:v>563.1988594947773</x:v>
      </x:c>
      <x:c r="L18" s="124" t="n">
        <x:f>'Scenarios'!$F$24</x:f>
        <x:v>592.1307712359746</x:v>
      </x:c>
    </x:row>
    <x:row r="19" ht="28" customHeight="1">
      <x:c r="A19" s="4"/>
      <x:c r="B19" s="7" t="str">
        <x:v>Maintenance capex (analyst allocation)</x:v>
      </x:c>
      <x:c r="C19" s="46" t="str">
        <x:v>N/D</x:v>
      </x:c>
      <x:c r="D19" s="46" t="str">
        <x:v>N/D</x:v>
      </x:c>
      <x:c r="E19" s="46" t="str">
        <x:v>N/D</x:v>
      </x:c>
      <x:c r="F19" s="46" t="str">
        <x:v>N/D</x:v>
      </x:c>
      <x:c r="G19" s="46" t="str">
        <x:v>N/D</x:v>
      </x:c>
      <x:c r="H19" s="124" t="n">
        <x:f>'Scenarios'!$B$25</x:f>
        <x:v>157.02545930399998</x:v>
      </x:c>
      <x:c r="I19" s="124" t="n">
        <x:f>'Scenarios'!$C$25</x:f>
        <x:v>164.41168956846397</x:v>
      </x:c>
      <x:c r="J19" s="124" t="n">
        <x:f>'Scenarios'!$D$25</x:f>
        <x:v>171.33240996079624</x:v>
      </x:c>
      <x:c r="K19" s="124" t="n">
        <x:f>'Scenarios'!$E$25</x:f>
        <x:v>177.4076407408548</x:v>
      </x:c>
      <x:c r="L19" s="124" t="n">
        <x:f>'Scenarios'!$F$25</x:f>
        <x:v>182.37627754068018</x:v>
      </x:c>
    </x:row>
    <x:row r="20" ht="23" customHeight="1">
      <x:c r="A20" s="4"/>
      <x:c r="B20" s="6" t="str">
        <x:v>Growth capex / capacity</x:v>
      </x:c>
      <x:c r="C20" s="46" t="str">
        <x:v>N/D</x:v>
      </x:c>
      <x:c r="D20" s="46" t="str">
        <x:v>N/D</x:v>
      </x:c>
      <x:c r="E20" s="46" t="str">
        <x:v>N/D</x:v>
      </x:c>
      <x:c r="F20" s="46" t="str">
        <x:v>N/D</x:v>
      </x:c>
      <x:c r="G20" s="46" t="str">
        <x:v>N/D</x:v>
      </x:c>
      <x:c r="H20" s="124" t="n">
        <x:f>'Scenarios'!$B$26</x:f>
        <x:v>333.679101021</x:v>
      </x:c>
      <x:c r="I20" s="124" t="n">
        <x:f>'Scenarios'!$C$26</x:f>
        <x:v>360.3064686287614</x:v>
      </x:c>
      <x:c r="J20" s="124" t="n">
        <x:f>'Scenarios'!$D$26</x:f>
        <x:v>360.75581973111764</x:v>
      </x:c>
      <x:c r="K20" s="124" t="n">
        <x:f>'Scenarios'!$E$26</x:f>
        <x:v>385.79121875392246</x:v>
      </x:c>
      <x:c r="L20" s="124" t="n">
        <x:f>'Scenarios'!$F$26</x:f>
        <x:v>409.75449369529446</x:v>
      </x:c>
    </x:row>
    <x:row r="21" ht="23" customHeight="1">
      <x:c r="A21" s="4"/>
      <x:c r="B21" s="6" t="str">
        <x:v>Change in NWC</x:v>
      </x:c>
      <x:c r="C21" s="124" t="n">
        <x:f>'Historical'!C28</x:f>
        <x:v>95.818</x:v>
      </x:c>
      <x:c r="D21" s="124" t="n">
        <x:f>'Historical'!D28</x:f>
        <x:v>125.487</x:v>
      </x:c>
      <x:c r="E21" s="124" t="n">
        <x:f>'Historical'!E28</x:f>
        <x:v>88.281</x:v>
      </x:c>
      <x:c r="F21" s="124" t="n">
        <x:f>'Historical'!F28</x:f>
        <x:v>114.137</x:v>
      </x:c>
      <x:c r="G21" s="124" t="n">
        <x:f>'Historical'!G28</x:f>
        <x:v>-22.56</x:v>
      </x:c>
      <x:c r="H21" s="124" t="n">
        <x:f>'Scenarios'!$B$27</x:f>
        <x:v>0.2641876500000035</x:v>
      </x:c>
      <x:c r="I21" s="124" t="n">
        <x:f>'Scenarios'!$C$27</x:f>
        <x:v>3.2393902735452778</x:v>
      </x:c>
      <x:c r="J21" s="124" t="n">
        <x:f>'Scenarios'!$D$27</x:f>
        <x:v>2.912098541081491</x:v>
      </x:c>
      <x:c r="K21" s="124" t="n">
        <x:f>'Scenarios'!$E$27</x:f>
        <x:v>2.799956682257708</x:v>
      </x:c>
      <x:c r="L21" s="124" t="n">
        <x:f>'Scenarios'!$F$27</x:f>
        <x:v>2.3145529392957904</x:v>
      </x:c>
    </x:row>
    <x:row r="22" ht="23" customHeight="1">
      <x:c r="A22" s="4"/>
      <x:c r="B22" s="6" t="str">
        <x:v>NOPAT</x:v>
      </x:c>
      <x:c r="C22" s="124" t="n">
        <x:f>C15*(1-'Assumptions'!$C$13)</x:f>
        <x:v>897.77654</x:v>
      </x:c>
      <x:c r="D22" s="124" t="n">
        <x:f>D15*(1-'Assumptions'!$C$13)</x:f>
        <x:v>1086.24763</x:v>
      </x:c>
      <x:c r="E22" s="124" t="n">
        <x:f>E15*(1-'Assumptions'!$C$13)</x:f>
        <x:v>1174.38951</x:v>
      </x:c>
      <x:c r="F22" s="124" t="n">
        <x:f>F15*(1-'Assumptions'!$C$13)</x:f>
        <x:v>1241.89817</x:v>
      </x:c>
      <x:c r="G22" s="124" t="n">
        <x:f>G15*(1-'Assumptions'!$C$13)</x:f>
        <x:v>1340.40406</x:v>
      </x:c>
      <x:c r="H22" s="124" t="n">
        <x:f>'Scenarios'!$B$28</x:f>
        <x:v>1335.4574880982</x:v>
      </x:c>
      <x:c r="I22" s="124" t="n">
        <x:f>'Scenarios'!$C$28</x:f>
        <x:v>1435.7948533571123</x:v>
      </x:c>
      <x:c r="J22" s="124" t="n">
        <x:f>'Scenarios'!$D$28</x:f>
        <x:v>1555.9091406436055</x:v>
      </x:c>
      <x:c r="K22" s="124" t="n">
        <x:f>'Scenarios'!$E$28</x:f>
        <x:v>1670.4591355241978</x:v>
      </x:c>
      <x:c r="L22" s="124" t="n">
        <x:f>'Scenarios'!$F$28</x:f>
        <x:v>1783.132490279752</x:v>
      </x:c>
    </x:row>
    <x:row r="23" ht="23" customHeight="1">
      <x:c r="A23" s="4"/>
      <x:c r="B23" s="6" t="str">
        <x:v>FCFF</x:v>
      </x:c>
      <x:c r="C23" s="100" t="n">
        <x:f>C22+C17-C18-C21</x:f>
        <x:v>457.04653999999994</x:v>
      </x:c>
      <x:c r="D23" s="100" t="n">
        <x:f>D22+D17-D18-D21</x:f>
        <x:v>655.3136300000001</x:v>
      </x:c>
      <x:c r="E23" s="100" t="n">
        <x:f>E22+E17-E18-E21</x:f>
        <x:v>729.15651</x:v>
      </x:c>
      <x:c r="F23" s="100" t="n">
        <x:f>F22+F17-F18-F21</x:f>
        <x:v>824.6891700000001</x:v>
      </x:c>
      <x:c r="G23" s="100" t="n">
        <x:f>G22+G17-G18-G21</x:f>
        <x:v>1010.5350599999999</x:v>
      </x:c>
      <x:c r="H23" s="124" t="n">
        <x:f>'Scenarios'!$B$29</x:f>
        <x:v>1068.8108248432002</x:v>
      </x:c>
      <x:c r="I23" s="124" t="n">
        <x:f>'Scenarios'!$C$29</x:f>
        <x:v>1142.7111471270043</x:v>
      </x:c>
      <x:c r="J23" s="124" t="n">
        <x:f>'Scenarios'!$D$29</x:f>
        <x:v>1265.6693980688906</x:v>
      </x:c>
      <x:c r="K23" s="124" t="n">
        <x:f>'Scenarios'!$E$29</x:f>
        <x:v>1357.8998061198124</x:v>
      </x:c>
      <x:c r="L23" s="124" t="n">
        <x:f>'Scenarios'!$F$29</x:f>
        <x:v>1449.2247054483105</x:v>
      </x:c>
    </x:row>
    <x:row r="24" ht="23" customHeight="1">
      <x:c r="A24" s="4"/>
      <x:c r="B24" s="6" t="str">
        <x:v>EBITDA</x:v>
      </x:c>
      <x:c r="C24" s="100" t="n">
        <x:f>C15+C17</x:f>
        <x:v>1259.51</x:v>
      </x:c>
      <x:c r="D24" s="100" t="n">
        <x:f>D15+D17</x:f>
        <x:v>1513.602</x:v>
      </x:c>
      <x:c r="E24" s="100" t="n">
        <x:f>E15+E17</x:f>
        <x:v>1646.253</x:v>
      </x:c>
      <x:c r="F24" s="100" t="n">
        <x:f>F15+F17</x:f>
        <x:v>1762.279</x:v>
      </x:c>
      <x:c r="G24" s="100" t="n">
        <x:f>G15+G17</x:f>
        <x:v>1914.498</x:v>
      </x:c>
      <x:c r="H24" s="124" t="n">
        <x:f>'Scenarios'!$B$30</x:f>
        <x:v>1914.7746012999999</x:v>
      </x:c>
      <x:c r="I24" s="124" t="n">
        <x:f>'Scenarios'!$C$30</x:f>
        <x:v>2052.33568193321</x:v>
      </x:c>
      <x:c r="J24" s="124" t="n">
        <x:f>'Scenarios'!$D$30</x:f>
        <x:v>2214.2658269793</x:v>
      </x:c>
      <x:c r="K24" s="124" t="n">
        <x:f>'Scenarios'!$E$30</x:f>
        <x:v>2367.9447216134063</x:v>
      </x:c>
      <x:c r="L24" s="124" t="n">
        <x:f>'Scenarios'!$F$30</x:f>
        <x:v>2517.6672738751604</x:v>
      </x:c>
    </x:row>
    <x:row r="25" ht="23" customHeight="1">
      <x:c r="A25" s="4"/>
      <x:c r="B25" s="4"/>
      <x:c r="C25" s="4"/>
      <x:c r="D25" s="4"/>
      <x:c r="E25" s="4"/>
      <x:c r="F25" s="4"/>
      <x:c r="G25" s="4"/>
      <x:c r="H25" s="4"/>
      <x:c r="I25" s="4"/>
      <x:c r="J25" s="4"/>
      <x:c r="K25" s="4"/>
      <x:c r="L25" s="4"/>
    </x:row>
    <x:row r="26" ht="23" customHeight="1">
      <x:c r="A26" s="4"/>
      <x:c r="B26" s="4"/>
      <x:c r="C26" s="4"/>
      <x:c r="D26" s="4"/>
      <x:c r="E26" s="4"/>
      <x:c r="F26" s="4"/>
      <x:c r="G26" s="4"/>
      <x:c r="H26" s="4"/>
      <x:c r="I26" s="4"/>
      <x:c r="J26" s="4"/>
      <x:c r="K26" s="4"/>
      <x:c r="L26" s="4"/>
    </x:row>
    <x:row r="27" ht="23" customHeight="1">
      <x:c r="A27" s="4"/>
      <x:c r="B27" s="6" t="str">
        <x:v>Forecast Interpretation</x:v>
      </x:c>
      <x:c r="C27" s="4"/>
      <x:c r="D27" s="4"/>
      <x:c r="E27" s="4"/>
      <x:c r="F27" s="4"/>
      <x:c r="G27" s="4"/>
      <x:c r="H27" s="4"/>
      <x:c r="I27" s="4"/>
      <x:c r="J27" s="4"/>
      <x:c r="K27" s="4"/>
      <x:c r="L27" s="4"/>
    </x:row>
    <x:row r="28" ht="24" customHeight="1">
      <x:c r="A28" s="4"/>
      <x:c r="B28" s="38" t="str">
        <x:v>FY2026E uses nine-month actuals plus an estimated fourth quarter and receives zero future PV. Later periods use volume, fee,</x:v>
      </x:c>
      <x:c r="C28" s="23"/>
      <x:c r="D28" s="23"/>
      <x:c r="E28" s="23"/>
      <x:c r="F28" s="23"/>
      <x:c r="G28" s="23"/>
      <x:c r="H28" s="23"/>
      <x:c r="I28" s="23"/>
      <x:c r="J28" s="23"/>
      <x:c r="K28" s="23"/>
      <x:c r="L28" s="23"/>
    </x:row>
    <x:row r="29" ht="24" customHeight="1">
      <x:c r="A29" s="4"/>
      <x:c r="B29" s="39" t="str">
        <x:v>cost and investment assumptions. Total CapEx remains at least 10% of revenue in the base forecast. Historical FCFF includes</x:v>
      </x:c>
      <x:c r="C29" s="4"/>
      <x:c r="D29" s="4"/>
      <x:c r="E29" s="4"/>
      <x:c r="F29" s="4"/>
      <x:c r="G29" s="4"/>
      <x:c r="H29" s="4"/>
      <x:c r="I29" s="4"/>
      <x:c r="J29" s="4"/>
      <x:c r="K29" s="4"/>
      <x:c r="L29" s="4"/>
    </x:row>
    <x:row r="30" ht="24" customHeight="1">
      <x:c r="A30" s="4"/>
      <x:c r="B30" s="39" t="str">
        <x:v>acquisitions; forecasts assume organic growth.</x:v>
      </x:c>
      <x:c r="C30" s="4"/>
      <x:c r="D30" s="4"/>
      <x:c r="E30" s="4"/>
      <x:c r="F30" s="4"/>
      <x:c r="G30" s="4"/>
      <x:c r="H30" s="4"/>
      <x:c r="I30" s="4"/>
      <x:c r="J30" s="4"/>
      <x:c r="K30" s="4"/>
      <x:c r="L30" s="4"/>
    </x:row>
    <x:row r="31" ht="23" customHeight="1">
      <x:c r="A31" s="4"/>
      <x:c r="B31" s="4"/>
      <x:c r="C31" s="4"/>
      <x:c r="D31" s="4"/>
      <x:c r="E31" s="4"/>
      <x:c r="F31" s="4"/>
      <x:c r="G31" s="4"/>
      <x:c r="H31" s="4"/>
      <x:c r="I31" s="4"/>
      <x:c r="J31" s="4"/>
      <x:c r="K31" s="4"/>
      <x:c r="L31" s="4"/>
    </x:row>
    <x:row r="36">
      <x:c r="B36" t="str">
        <x:v>Fiscal year</x:v>
      </x:c>
      <x:c r="C36" t="str">
        <x:v>Revenue</x:v>
      </x:c>
    </x:row>
    <x:row r="37">
      <x:c r="B37" s="189" t="str">
        <x:v>2021</x:v>
      </x:c>
      <x:c r="C37" t="n">
        <x:f>C6</x:f>
        <x:v>2692.511</x:v>
      </x:c>
    </x:row>
    <x:row r="38">
      <x:c r="B38" s="189" t="str">
        <x:v>2022</x:v>
      </x:c>
      <x:c r="C38" t="n">
        <x:f>D6</x:f>
        <x:v>3500.921</x:v>
      </x:c>
    </x:row>
    <x:row r="39">
      <x:c r="B39" s="189" t="str">
        <x:v>2023</x:v>
      </x:c>
      <x:c r="C39" t="n">
        <x:f>E6</x:f>
        <x:v>3869.518</x:v>
      </x:c>
    </x:row>
    <x:row r="40">
      <x:c r="B40" s="189" t="str">
        <x:v>2024</x:v>
      </x:c>
      <x:c r="C40" t="n">
        <x:f>F6</x:f>
        <x:v>4236.823</x:v>
      </x:c>
    </x:row>
    <x:row r="41">
      <x:c r="B41" s="189" t="str">
        <x:v>2025</x:v>
      </x:c>
      <x:c r="C41" t="n">
        <x:f>G6</x:f>
        <x:v>4646.958</x:v>
      </x:c>
    </x:row>
    <x:row r="42">
      <x:c r="B42" s="189" t="str">
        <x:v>2026</x:v>
      </x:c>
      <x:c r="C42" t="n">
        <x:f>H6</x:f>
        <x:v>4673.376765</x:v>
      </x:c>
    </x:row>
    <x:row r="43">
      <x:c r="B43" s="189" t="str">
        <x:v>2027</x:v>
      </x:c>
      <x:c r="C43" t="n">
        <x:f>I6</x:f>
        <x:v>4997.315792354528</x:v>
      </x:c>
    </x:row>
    <x:row r="44">
      <x:c r="B44" s="189" t="str">
        <x:v>2028</x:v>
      </x:c>
      <x:c r="C44" t="n">
        <x:f>J6</x:f>
        <x:v>5320.882296919138</x:v>
      </x:c>
    </x:row>
    <x:row r="45">
      <x:c r="B45" s="189" t="str">
        <x:v>2029</x:v>
      </x:c>
      <x:c r="C45" t="n">
        <x:f>K6</x:f>
        <x:v>5631.988594947772</x:v>
      </x:c>
    </x:row>
    <x:row r="46">
      <x:c r="B46" s="189" t="str">
        <x:v>2030</x:v>
      </x:c>
      <x:c r="C46" t="n">
        <x:f>L6</x:f>
        <x:v>5921.307712359746</x:v>
      </x:c>
    </x:row>
  </x:sheetData>
  <x:pageMargins left="0.7" right="0.7" top="0.75" bottom="0.75" header="0.3" footer="0.3"/>
  <x:drawing xmlns:r="http://schemas.openxmlformats.org/officeDocument/2006/relationships" r:id="Rf94ef3366c2e4789"/>
</x:worksheet>
</file>

<file path=xl/worksheets/sheet6.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s>
  <x:sheetData>
    <x:row r="1" ht="31" customHeight="1">
      <x:c r="A1" s="6"/>
      <x:c r="B1" s="19" t="str">
        <x:v>Copart, Operating Drivers</x:v>
      </x:c>
      <x:c r="C1" s="19"/>
      <x:c r="D1" s="19"/>
      <x:c r="E1" s="19"/>
      <x:c r="F1" s="19"/>
      <x:c r="G1" s="19"/>
      <x:c r="H1" s="19"/>
      <x:c r="I1" s="19"/>
      <x:c r="J1" s="19"/>
      <x:c r="K1" s="19"/>
    </x:row>
    <x:row r="2" ht="24" customHeight="1">
      <x:c r="A2" s="7"/>
      <x:c r="B2" s="23" t="str">
        <x:v>Service revenue uses estimated insurer vehicle volumes, other volumes and revenue per vehicle. Each index starts at FY2026E =</x:v>
      </x:c>
      <x:c r="C2" s="23"/>
      <x:c r="D2" s="23"/>
      <x:c r="E2" s="23"/>
      <x:c r="F2" s="23"/>
      <x:c r="G2" s="23"/>
      <x:c r="H2" s="23"/>
      <x:c r="I2" s="23"/>
      <x:c r="J2" s="23"/>
      <x:c r="K2" s="23"/>
    </x:row>
    <x:row r="3" ht="24" customHeight="1">
      <x:c r="A3" s="4"/>
      <x:c r="B3" s="39" t="str">
        <x:v>100.</x:v>
      </x:c>
      <x:c r="C3" s="4"/>
      <x:c r="D3" s="4"/>
      <x:c r="E3" s="4"/>
      <x:c r="F3" s="4"/>
      <x:c r="G3" s="4"/>
      <x:c r="H3" s="4"/>
      <x:c r="I3" s="4"/>
      <x:c r="J3" s="4"/>
      <x:c r="K3" s="4"/>
    </x:row>
    <x:row r="4" ht="23" customHeight="1">
      <x:c r="A4" s="4"/>
      <x:c r="B4" s="6" t="str">
        <x:v>Revenue Forecast</x:v>
      </x:c>
      <x:c r="C4" s="4"/>
      <x:c r="D4" s="4"/>
      <x:c r="E4" s="4"/>
      <x:c r="F4" s="4"/>
      <x:c r="G4" s="4"/>
      <x:c r="H4" s="4"/>
      <x:c r="I4" s="4"/>
      <x:c r="J4" s="6" t="str">
        <x:v>Forecast Assumptions and Sources</x:v>
      </x:c>
      <x:c r="K4" s="4"/>
    </x:row>
    <x:row r="5" ht="34" customHeight="1">
      <x:c r="A5" s="4"/>
      <x:c r="B5" s="34" t="str">
        <x:v>Metric</x:v>
      </x:c>
      <x:c r="C5" s="34" t="str">
        <x:v>FY2025A</x:v>
      </x:c>
      <x:c r="D5" s="34" t="str">
        <x:v>FY2026E</x:v>
      </x:c>
      <x:c r="E5" s="34" t="str">
        <x:v>FY2027E</x:v>
      </x:c>
      <x:c r="F5" s="34" t="str">
        <x:v>FY2028E</x:v>
      </x:c>
      <x:c r="G5" s="34" t="str">
        <x:v>FY2029E</x:v>
      </x:c>
      <x:c r="H5" s="34" t="str">
        <x:v>FY2030E</x:v>
      </x:c>
      <x:c r="I5" s="36"/>
      <x:c r="J5" s="34" t="str">
        <x:v>Insurance volume</x:v>
      </x:c>
      <x:c r="K5" s="34" t="str">
        <x:v>Insurers supplied 81% of processed vehicles in FY2025. Future volumes depend on accidents, total losses, insurer contracts, miles driven and storms.</x:v>
      </x:c>
    </x:row>
    <x:row r="6" ht="48" customHeight="1">
      <x:c r="A6" s="4"/>
      <x:c r="B6" s="6" t="str">
        <x:v>U.S. service revenue</x:v>
      </x:c>
      <x:c r="C6" s="124" t="n">
        <x:f>'Historical'!$G$9</x:f>
        <x:v>3451.558</x:v>
      </x:c>
      <x:c r="D6" s="124" t="n">
        <x:f>'Scenarios'!$B$8+'Scenarios'!$B$9</x:f>
        <x:v>3415.898325</x:v>
      </x:c>
      <x:c r="E6" s="124" t="n">
        <x:f>'Scenarios'!$C$8+'Scenarios'!$C$9</x:f>
        <x:v>3664.9743583945274</x:v>
      </x:c>
      <x:c r="F6" s="124" t="n">
        <x:f>'Scenarios'!$D$8+'Scenarios'!$D$9</x:f>
        <x:v>3913.345017535108</x:v>
      </x:c>
      <x:c r="G6" s="124" t="n">
        <x:f>'Scenarios'!$E$8+'Scenarios'!$E$9</x:f>
        <x:v>4155.20513865453</x:v>
      </x:c>
      <x:c r="H6" s="124" t="n">
        <x:f>'Scenarios'!$F$8+'Scenarios'!$F$9</x:f>
        <x:v>4383.866107267715</x:v>
      </x:c>
      <x:c r="I6" s="4"/>
      <x:c r="J6" s="6" t="str">
        <x:v>Revenue per unit</x:v>
      </x:c>
      <x:c r="K6" s="7" t="str">
        <x:v>Dollar revenue per vehicle is not disclosed. Its assumed growth reflects fees, service mix and prices for damaged vehicles.</x:v>
      </x:c>
    </x:row>
    <x:row r="7" ht="36" customHeight="1">
      <x:c r="A7" s="4"/>
      <x:c r="B7" s="7" t="str">
        <x:v>Estimated insurer service revenue</x:v>
      </x:c>
      <x:c r="C7" s="124" t="n">
        <x:f>C6*'Assumptions'!$C$6</x:f>
        <x:v>2795.76198</x:v>
      </x:c>
      <x:c r="D7" s="124" t="n">
        <x:f>'Scenarios'!$B$8</x:f>
        <x:v>2766.8776432500003</x:v>
      </x:c>
      <x:c r="E7" s="124" t="n">
        <x:f>'Scenarios'!$C$8</x:f>
        <x:v>2966.5632027633524</x:v>
      </x:c>
      <x:c r="F7" s="124" t="n">
        <x:f>'Scenarios'!$D$8</x:f>
        <x:v>3165.3466698541197</x:v>
      </x:c>
      <x:c r="G7" s="124" t="n">
        <x:f>'Scenarios'!$E$8</x:f>
        <x:v>3357.913699861365</x:v>
      </x:c>
      <x:c r="H7" s="124" t="n">
        <x:f>'Scenarios'!$F$8</x:f>
        <x:v>3538.0993489959255</x:v>
      </x:c>
      <x:c r="I7" s="4"/>
      <x:c r="J7" s="6" t="str">
        <x:v>Other vehicles</x:v>
      </x:c>
      <x:c r="K7" s="7" t="str">
        <x:v>Vehicles from commercial sellers rose 15.3% in FY2025. The model does not assume this pace continues.</x:v>
      </x:c>
    </x:row>
    <x:row r="8" ht="48" customHeight="1">
      <x:c r="A8" s="4"/>
      <x:c r="B8" s="7" t="str">
        <x:v>Estimated other U.S. service revenue</x:v>
      </x:c>
      <x:c r="C8" s="100" t="n">
        <x:f>C6-C7</x:f>
        <x:v>655.7960199999998</x:v>
      </x:c>
      <x:c r="D8" s="124" t="n">
        <x:f>'Scenarios'!$B$9</x:f>
        <x:v>649.0206817499998</x:v>
      </x:c>
      <x:c r="E8" s="124" t="n">
        <x:f>'Scenarios'!$C$9</x:f>
        <x:v>698.4111556311748</x:v>
      </x:c>
      <x:c r="F8" s="124" t="n">
        <x:f>'Scenarios'!$D$9</x:f>
        <x:v>747.9983476809882</x:v>
      </x:c>
      <x:c r="G8" s="124" t="n">
        <x:f>'Scenarios'!$E$9</x:f>
        <x:v>797.2914387931653</x:v>
      </x:c>
      <x:c r="H8" s="124" t="n">
        <x:f>'Scenarios'!$F$9</x:f>
        <x:v>845.7667582717899</x:v>
      </x:c>
      <x:c r="I8" s="4"/>
      <x:c r="J8" s="6" t="str">
        <x:v>International</x:v>
      </x:c>
      <x:c r="K8" s="7" t="str">
        <x:v>FY2025 international vehicle volume rose 8.1% and fee-generating units 9.8%. Currency rates and service mix also affect revenue.</x:v>
      </x:c>
    </x:row>
    <x:row r="9" ht="48" customHeight="1">
      <x:c r="A9" s="4"/>
      <x:c r="B9" s="6" t="str">
        <x:v>International service revenue</x:v>
      </x:c>
      <x:c r="C9" s="124" t="n">
        <x:f>'Historical'!$G$10</x:f>
        <x:v>517.104</x:v>
      </x:c>
      <x:c r="D9" s="124" t="n">
        <x:f>'Scenarios'!$B$10</x:f>
        <x:v>571.41868</x:v>
      </x:c>
      <x:c r="E9" s="124" t="n">
        <x:f>'Scenarios'!$C$10</x:f>
        <x:v>632.56047876</x:v>
      </x:c>
      <x:c r="F9" s="124" t="n">
        <x:f>'Scenarios'!$D$10</x:f>
        <x:v>693.7607050800301</x:v>
      </x:c>
      <x:c r="G9" s="124" t="n">
        <x:f>'Scenarios'!$E$10</x:f>
        <x:v>752.3002333746831</x:v>
      </x:c>
      <x:c r="H9" s="124" t="n">
        <x:f>'Scenarios'!$F$10</x:f>
        <x:v>805.7135499442857</x:v>
      </x:c>
      <x:c r="I9" s="4"/>
      <x:c r="J9" s="6" t="str">
        <x:v>Owned-vehicle sales</x:v>
      </x:c>
      <x:c r="K9" s="7" t="str">
        <x:v>Owned-vehicle sales record the full price and vehicle cost. Their margins are lower than service fees, so they are forecast separately.</x:v>
      </x:c>
    </x:row>
    <x:row r="10" ht="48" customHeight="1">
      <x:c r="A10" s="4"/>
      <x:c r="B10" s="6" t="str">
        <x:v>Total service revenue</x:v>
      </x:c>
      <x:c r="C10" s="124" t="n">
        <x:f>'Historical'!$G$7</x:f>
        <x:v>3968.662</x:v>
      </x:c>
      <x:c r="D10" s="124" t="n">
        <x:f>'Scenarios'!$B$11</x:f>
        <x:v>3987.317005</x:v>
      </x:c>
      <x:c r="E10" s="124" t="n">
        <x:f>'Scenarios'!$C$11</x:f>
        <x:v>4297.534837154528</x:v>
      </x:c>
      <x:c r="F10" s="124" t="n">
        <x:f>'Scenarios'!$D$11</x:f>
        <x:v>4607.105722615138</x:v>
      </x:c>
      <x:c r="G10" s="124" t="n">
        <x:f>'Scenarios'!$E$11</x:f>
        <x:v>4907.505372029213</x:v>
      </x:c>
      <x:c r="H10" s="124" t="n">
        <x:f>'Scenarios'!$F$11</x:f>
        <x:v>5189.579657212001</x:v>
      </x:c>
      <x:c r="I10" s="4"/>
      <x:c r="J10" s="6" t="str">
        <x:v>Capacity</x:v>
      </x:c>
      <x:c r="K10" s="7" t="str">
        <x:v>Management reports 21,000+ acres, over 90% owned, and about $500m FY2025 capex for added capacity and storm preparation.</x:v>
      </x:c>
    </x:row>
    <x:row r="11" ht="36" customHeight="1">
      <x:c r="A11" s="4"/>
      <x:c r="B11" s="6" t="str">
        <x:v>Owned-vehicle sales</x:v>
      </x:c>
      <x:c r="C11" s="124" t="n">
        <x:f>'Historical'!$G$8</x:f>
        <x:v>678.296</x:v>
      </x:c>
      <x:c r="D11" s="124" t="n">
        <x:f>'Scenarios'!$B$12</x:f>
        <x:v>686.05976</x:v>
      </x:c>
      <x:c r="E11" s="124" t="n">
        <x:f>'Scenarios'!$C$12</x:f>
        <x:v>699.7809552</x:v>
      </x:c>
      <x:c r="F11" s="124" t="n">
        <x:f>'Scenarios'!$D$12</x:f>
        <x:v>713.776574304</x:v>
      </x:c>
      <x:c r="G11" s="124" t="n">
        <x:f>'Scenarios'!$E$12</x:f>
        <x:v>724.4832229185599</x:v>
      </x:c>
      <x:c r="H11" s="124" t="n">
        <x:f>'Scenarios'!$F$12</x:f>
        <x:v>731.7280551477455</x:v>
      </x:c>
      <x:c r="I11" s="4"/>
      <x:c r="J11" s="6" t="str">
        <x:v>What could prove it wrong</x:v>
      </x:c>
      <x:c r="K11" s="7" t="str">
        <x:v>Fewer insurer vehicles, lower fees or sale prices, or poor returns on new yards and international spending</x:v>
      </x:c>
    </x:row>
    <x:row r="12" ht="28" customHeight="1">
      <x:c r="A12" s="4"/>
      <x:c r="B12" s="4"/>
      <x:c r="C12" s="4"/>
      <x:c r="D12" s="4"/>
      <x:c r="E12" s="4"/>
      <x:c r="F12" s="4"/>
      <x:c r="G12" s="4"/>
      <x:c r="H12" s="4"/>
      <x:c r="I12" s="4"/>
      <x:c r="J12" s="6" t="str">
        <x:v>No hard market share</x:v>
      </x:c>
      <x:c r="K12" s="7" t="str">
        <x:v>A verified market-share figure is unavailable and is not used.</x:v>
      </x:c>
    </x:row>
    <x:row r="13" ht="28" customHeight="1">
      <x:c r="A13" s="4"/>
      <x:c r="B13" s="4"/>
      <x:c r="C13" s="4"/>
      <x:c r="D13" s="4"/>
      <x:c r="E13" s="4"/>
      <x:c r="F13" s="4"/>
      <x:c r="G13" s="4"/>
      <x:c r="H13" s="4"/>
      <x:c r="I13" s="4"/>
      <x:c r="J13" s="6" t="str">
        <x:v>FY2026 read-through</x:v>
      </x:c>
      <x:c r="K13" s="7" t="str">
        <x:v>Nine-month service revenue fell 0.4%. FY2026E therefore starts near flat.</x:v>
      </x:c>
    </x:row>
    <x:row r="14" ht="36" customHeight="1">
      <x:c r="A14" s="4"/>
      <x:c r="B14" s="7" t="str">
        <x:v>Indexed Unit-Volume &amp; Revenue-Per-Unit Drivers</x:v>
      </x:c>
      <x:c r="C14" s="4"/>
      <x:c r="D14" s="4"/>
      <x:c r="E14" s="4"/>
      <x:c r="F14" s="4"/>
      <x:c r="G14" s="4"/>
      <x:c r="H14" s="4"/>
      <x:c r="I14" s="4"/>
      <x:c r="J14" s="6" t="str">
        <x:v>Seasonality</x:v>
      </x:c>
      <x:c r="K14" s="7" t="str">
        <x:v>Weather can raise volumes. The model does not extend a single quarter's change to all future years.</x:v>
      </x:c>
    </x:row>
    <x:row r="15" ht="23" customHeight="1">
      <x:c r="A15" s="4"/>
      <x:c r="B15" s="6" t="str">
        <x:v>Index (FY2026E = 100)</x:v>
      </x:c>
      <x:c r="C15" s="6" t="str">
        <x:v>FY2026E</x:v>
      </x:c>
      <x:c r="D15" s="6" t="str">
        <x:v>FY2027E</x:v>
      </x:c>
      <x:c r="E15" s="6" t="str">
        <x:v>FY2028E</x:v>
      </x:c>
      <x:c r="F15" s="6" t="str">
        <x:v>FY2029E</x:v>
      </x:c>
      <x:c r="G15" s="6" t="str">
        <x:v>FY2030E</x:v>
      </x:c>
      <x:c r="H15" s="4"/>
      <x:c r="I15" s="4"/>
      <x:c r="J15" s="4"/>
      <x:c r="K15" s="4"/>
    </x:row>
    <x:row r="16" ht="23" customHeight="1">
      <x:c r="A16" s="4"/>
      <x:c r="B16" s="6" t="str">
        <x:v>Insurance-sourced volume index</x:v>
      </x:c>
      <x:c r="C16" s="131" t="n">
        <x:v>100</x:v>
      </x:c>
      <x:c r="D16" s="133" t="n">
        <x:f>C16*(1+'Assumptions'!$D$32)</x:f>
        <x:v>104.5</x:v>
      </x:c>
      <x:c r="E16" s="133" t="n">
        <x:f>D16*(1+'Assumptions'!$E$32)</x:f>
        <x:v>108.88900000000001</x:v>
      </x:c>
      <x:c r="F16" s="133" t="n">
        <x:f>E16*(1+'Assumptions'!$F$32)</x:f>
        <x:v>113.02678200000001</x:v>
      </x:c>
      <x:c r="G16" s="133" t="n">
        <x:f>F16*(1+'Assumptions'!$G$32)</x:f>
        <x:v>116.756665806</x:v>
      </x:c>
      <x:c r="H16" s="4"/>
      <x:c r="I16" s="4"/>
      <x:c r="J16" s="4"/>
      <x:c r="K16" s="4"/>
    </x:row>
    <x:row r="17" ht="28" customHeight="1">
      <x:c r="A17" s="4"/>
      <x:c r="B17" s="7" t="str">
        <x:v>Insurance-sourced revenue-per-unit index</x:v>
      </x:c>
      <x:c r="C17" s="131" t="n">
        <x:v>100</x:v>
      </x:c>
      <x:c r="D17" s="133" t="n">
        <x:f>C17*(1+'Assumptions'!$D$33)</x:f>
        <x:v>102.60000000000001</x:v>
      </x:c>
      <x:c r="E17" s="133" t="n">
        <x:f>D17*(1+'Assumptions'!$E$33)</x:f>
        <x:v>105.06240000000001</x:v>
      </x:c>
      <x:c r="F17" s="133" t="n">
        <x:f>E17*(1+'Assumptions'!$F$33)</x:f>
        <x:v>107.37377280000001</x:v>
      </x:c>
      <x:c r="G17" s="133" t="n">
        <x:f>F17*(1+'Assumptions'!$G$33)</x:f>
        <x:v>109.521248256</x:v>
      </x:c>
      <x:c r="H17" s="4"/>
      <x:c r="I17" s="4"/>
      <x:c r="J17" s="4"/>
      <x:c r="K17" s="4"/>
    </x:row>
    <x:row r="18" ht="23" customHeight="1">
      <x:c r="A18" s="4"/>
      <x:c r="B18" s="6" t="str">
        <x:v>Other U.S. volume index</x:v>
      </x:c>
      <x:c r="C18" s="131" t="n">
        <x:v>100</x:v>
      </x:c>
      <x:c r="D18" s="133" t="n">
        <x:f>C18*(1+'Assumptions'!$D$34)</x:f>
        <x:v>105.5</x:v>
      </x:c>
      <x:c r="E18" s="133" t="n">
        <x:f>D18*(1+'Assumptions'!$E$34)</x:f>
        <x:v>110.775</x:v>
      </x:c>
      <x:c r="F18" s="133" t="n">
        <x:f>E18*(1+'Assumptions'!$F$34)</x:f>
        <x:v>115.759875</x:v>
      </x:c>
      <x:c r="G18" s="133" t="n">
        <x:f>F18*(1+'Assumptions'!$G$34)</x:f>
        <x:v>120.39027</x:v>
      </x:c>
      <x:c r="H18" s="4"/>
      <x:c r="I18" s="4"/>
      <x:c r="J18" s="4"/>
      <x:c r="K18" s="4"/>
    </x:row>
    <x:row r="19" ht="28" customHeight="1">
      <x:c r="A19" s="4"/>
      <x:c r="B19" s="7" t="str">
        <x:v>Other U.S. revenue-per-unit index</x:v>
      </x:c>
      <x:c r="C19" s="131" t="n">
        <x:v>100</x:v>
      </x:c>
      <x:c r="D19" s="133" t="n">
        <x:f>C19*(1+'Assumptions'!$D$35)</x:f>
        <x:v>102</x:v>
      </x:c>
      <x:c r="E19" s="133" t="n">
        <x:f>D19*(1+'Assumptions'!$E$35)</x:f>
        <x:v>104.04</x:v>
      </x:c>
      <x:c r="F19" s="133" t="n">
        <x:f>E19*(1+'Assumptions'!$F$35)</x:f>
        <x:v>106.1208</x:v>
      </x:c>
      <x:c r="G19" s="133" t="n">
        <x:f>F19*(1+'Assumptions'!$G$35)</x:f>
        <x:v>108.243216</x:v>
      </x:c>
      <x:c r="H19" s="4"/>
      <x:c r="I19" s="4"/>
      <x:c r="J19" s="4"/>
      <x:c r="K19" s="4"/>
    </x:row>
    <x:row r="20" ht="23" customHeight="1">
      <x:c r="A20" s="4"/>
      <x:c r="B20" s="6" t="str">
        <x:v>International volume index</x:v>
      </x:c>
      <x:c r="C20" s="131" t="n">
        <x:v>100</x:v>
      </x:c>
      <x:c r="D20" s="133" t="n">
        <x:f>C20*(1+'Assumptions'!$D$36)</x:f>
        <x:v>108</x:v>
      </x:c>
      <x:c r="E20" s="133" t="n">
        <x:f>D20*(1+'Assumptions'!$E$36)</x:f>
        <x:v>115.56</x:v>
      </x:c>
      <x:c r="F20" s="133" t="n">
        <x:f>E20*(1+'Assumptions'!$F$36)</x:f>
        <x:v>122.49360000000001</x:v>
      </x:c>
      <x:c r="G20" s="133" t="n">
        <x:f>F20*(1+'Assumptions'!$G$36)</x:f>
        <x:v>128.61828000000003</x:v>
      </x:c>
      <x:c r="H20" s="4"/>
      <x:c r="I20" s="4"/>
      <x:c r="J20" s="4"/>
      <x:c r="K20" s="4"/>
    </x:row>
    <x:row r="21" ht="28" customHeight="1">
      <x:c r="A21" s="4"/>
      <x:c r="B21" s="7" t="str">
        <x:v>International revenue-per-unit index</x:v>
      </x:c>
      <x:c r="C21" s="131" t="n">
        <x:v>100</x:v>
      </x:c>
      <x:c r="D21" s="133" t="n">
        <x:f>C21*(1+'Assumptions'!$D$37)</x:f>
        <x:v>102.49999999999999</x:v>
      </x:c>
      <x:c r="E21" s="133" t="n">
        <x:f>D21*(1+'Assumptions'!$E$37)</x:f>
        <x:v>105.06249999999997</x:v>
      </x:c>
      <x:c r="F21" s="133" t="n">
        <x:f>E21*(1+'Assumptions'!$F$37)</x:f>
        <x:v>107.47893749999996</x:v>
      </x:c>
      <x:c r="G21" s="133" t="n">
        <x:f>F21*(1+'Assumptions'!$G$37)</x:f>
        <x:v>109.62851624999996</x:v>
      </x:c>
      <x:c r="H21" s="4"/>
      <x:c r="I21" s="4"/>
      <x:c r="J21" s="4"/>
      <x:c r="K21" s="4"/>
    </x:row>
    <x:row r="22" ht="23" customHeight="1">
      <x:c r="A22" s="4"/>
      <x:c r="B22" s="4"/>
      <x:c r="C22" s="4"/>
      <x:c r="D22" s="4"/>
      <x:c r="E22" s="4"/>
      <x:c r="F22" s="4"/>
      <x:c r="G22" s="4"/>
      <x:c r="H22" s="4"/>
      <x:c r="I22" s="4"/>
      <x:c r="J22" s="4"/>
      <x:c r="K22" s="4"/>
    </x:row>
    <x:row r="23" ht="23" customHeight="1">
      <x:c r="A23" s="4"/>
      <x:c r="B23" s="4"/>
      <x:c r="C23" s="4"/>
      <x:c r="D23" s="4"/>
      <x:c r="E23" s="4"/>
      <x:c r="F23" s="4"/>
      <x:c r="G23" s="4"/>
      <x:c r="H23" s="4"/>
      <x:c r="I23" s="4"/>
      <x:c r="J23" s="4"/>
      <x:c r="K23" s="4"/>
    </x:row>
    <x:row r="24" ht="23" customHeight="1">
      <x:c r="A24" s="4"/>
      <x:c r="B24" s="4"/>
      <x:c r="C24" s="4"/>
      <x:c r="D24" s="4"/>
      <x:c r="E24" s="4"/>
      <x:c r="F24" s="4"/>
      <x:c r="G24" s="4"/>
      <x:c r="H24" s="4"/>
      <x:c r="I24" s="4"/>
      <x:c r="J24" s="4"/>
      <x:c r="K24" s="4"/>
    </x:row>
    <x:row r="25" ht="23" customHeight="1">
      <x:c r="A25" s="4"/>
      <x:c r="B25" s="4"/>
      <x:c r="C25" s="4"/>
      <x:c r="D25" s="4"/>
      <x:c r="E25" s="4"/>
      <x:c r="F25" s="4"/>
      <x:c r="G25" s="4"/>
      <x:c r="H25" s="4"/>
      <x:c r="I25" s="4"/>
      <x:c r="J25" s="4"/>
      <x:c r="K25" s="4"/>
    </x:row>
    <x:row r="26" ht="23" customHeight="1">
      <x:c r="A26" s="4"/>
      <x:c r="B26" s="4"/>
      <x:c r="C26" s="4"/>
      <x:c r="D26" s="4"/>
      <x:c r="E26" s="4"/>
      <x:c r="F26" s="4"/>
      <x:c r="G26" s="4"/>
      <x:c r="H26" s="4"/>
      <x:c r="I26" s="4"/>
      <x:c r="J26" s="4"/>
      <x:c r="K26" s="4"/>
    </x:row>
    <x:row r="27" ht="23" customHeight="1">
      <x:c r="A27" s="4"/>
      <x:c r="B27" s="4"/>
      <x:c r="C27" s="4"/>
      <x:c r="D27" s="4"/>
      <x:c r="E27" s="4"/>
      <x:c r="F27" s="4"/>
      <x:c r="G27" s="4"/>
      <x:c r="H27" s="4"/>
      <x:c r="I27" s="4"/>
      <x:c r="J27" s="4"/>
      <x:c r="K27" s="4"/>
    </x:row>
    <x:row r="28" ht="23" customHeight="1">
      <x:c r="A28" s="4"/>
      <x:c r="B28" s="4"/>
      <x:c r="C28" s="4"/>
      <x:c r="D28" s="4"/>
      <x:c r="E28" s="4"/>
      <x:c r="F28" s="4"/>
      <x:c r="G28" s="4"/>
      <x:c r="H28" s="4"/>
      <x:c r="I28" s="4"/>
      <x:c r="J28" s="4"/>
      <x:c r="K28" s="4"/>
    </x:row>
    <x:row r="29" ht="23" customHeight="1">
      <x:c r="A29" s="4"/>
      <x:c r="B29" s="4"/>
      <x:c r="C29" s="4"/>
      <x:c r="D29" s="4"/>
      <x:c r="E29" s="4"/>
      <x:c r="F29" s="4"/>
      <x:c r="G29" s="4"/>
      <x:c r="H29" s="4"/>
      <x:c r="I29" s="4"/>
      <x:c r="J29" s="4"/>
      <x:c r="K29" s="4"/>
    </x:row>
    <x:row r="30" ht="23" customHeight="1">
      <x:c r="A30" s="4"/>
      <x:c r="B30" s="4"/>
      <x:c r="C30" s="4"/>
      <x:c r="D30" s="4"/>
      <x:c r="E30" s="4"/>
      <x:c r="F30" s="4"/>
      <x:c r="G30" s="4"/>
      <x:c r="H30" s="4"/>
      <x:c r="I30" s="4"/>
      <x:c r="J30" s="4"/>
      <x:c r="K30" s="4"/>
    </x:row>
  </x:sheetData>
  <x:pageMargins left="0.7" right="0.7" top="0.75" bottom="0.75" header="0.3" footer="0.3"/>
</x:worksheet>
</file>

<file path=xl/worksheets/sheet7.xml><?xml version="1.0" encoding="utf-8"?>
<x:worksheet xmlns:x="http://schemas.openxmlformats.org/spreadsheetml/2006/main">
  <x:sheetPr>
    <x:tabColor rgb="FFC8D1D8"/>
  </x:sheetPr>
  <x:sheetViews>
    <x:sheetView showGridLines="0" workbookViewId="0">
      <x:pane xSplit="2" ySplit="5" topLeftCell="C6" activePane="bottomRight" state="frozen"/>
    </x:sheetView>
  </x:sheetViews>
  <x:sheetFormatPr defaultRowHeight="15"/>
  <x:cols>
    <x:col min="1" max="1" width="43"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s>
  <x:sheetData>
    <x:row r="1" ht="31" customHeight="1">
      <x:c r="A1" s="6"/>
      <x:c r="B1" s="19" t="str">
        <x:v>Scenario FCFF Calculations</x:v>
      </x:c>
      <x:c r="C1" s="19"/>
      <x:c r="D1" s="19"/>
      <x:c r="E1" s="19"/>
      <x:c r="F1" s="19"/>
      <x:c r="G1" s="19"/>
      <x:c r="H1" s="19"/>
      <x:c r="I1" s="19"/>
      <x:c r="J1" s="19"/>
      <x:c r="K1" s="19"/>
      <x:c r="L1" s="19"/>
      <x:c r="M1" s="19"/>
      <x:c r="N1" s="146"/>
      <x:c r="O1" s="19"/>
      <x:c r="P1" s="19"/>
      <x:c r="Q1" s="19"/>
      <x:c r="R1" s="19"/>
    </x:row>
    <x:row r="2" ht="24" customHeight="1">
      <x:c r="A2" s="7"/>
      <x:c r="B2" s="23" t="str">
        <x:v>Each case forecasts the business separately. FY2026E uses nine-month results plus a Q4 estimate. Later years use growth and</x:v>
      </x:c>
      <x:c r="C2" s="23"/>
      <x:c r="D2" s="23"/>
      <x:c r="E2" s="23"/>
      <x:c r="F2" s="23"/>
      <x:c r="G2" s="23"/>
      <x:c r="H2" s="23"/>
      <x:c r="I2" s="23"/>
      <x:c r="J2" s="23"/>
      <x:c r="K2" s="23"/>
      <x:c r="L2" s="23"/>
      <x:c r="M2" s="23"/>
      <x:c r="N2" s="23"/>
      <x:c r="O2" s="23"/>
      <x:c r="P2" s="23"/>
      <x:c r="Q2" s="23"/>
      <x:c r="R2" s="23"/>
    </x:row>
    <x:row r="3" ht="24" customHeight="1">
      <x:c r="A3" s="4"/>
      <x:c r="B3" s="38" t="str">
        <x:v>cost assumptions.</x:v>
      </x:c>
      <x:c r="C3" s="4"/>
      <x:c r="D3" s="4"/>
      <x:c r="E3" s="4"/>
      <x:c r="F3" s="4"/>
      <x:c r="G3" s="4"/>
      <x:c r="H3" s="6" t="str">
        <x:v>Downside Case</x:v>
      </x:c>
      <x:c r="I3" s="4"/>
      <x:c r="J3" s="4"/>
      <x:c r="K3" s="4"/>
      <x:c r="L3" s="4"/>
      <x:c r="M3" s="4"/>
      <x:c r="N3" s="6" t="str">
        <x:v>Upside Case</x:v>
      </x:c>
      <x:c r="O3" s="4"/>
      <x:c r="P3" s="4"/>
      <x:c r="Q3" s="4"/>
      <x:c r="R3" s="4"/>
    </x:row>
    <x:row r="4" ht="23" customHeight="1">
      <x:c r="A4" s="4"/>
      <x:c r="B4" s="4"/>
      <x:c r="C4" s="4"/>
      <x:c r="D4" s="4"/>
      <x:c r="E4" s="4"/>
      <x:c r="F4" s="4"/>
      <x:c r="G4" s="4"/>
      <x:c r="H4" s="4"/>
      <x:c r="I4" s="4"/>
      <x:c r="J4" s="4"/>
      <x:c r="K4" s="4"/>
      <x:c r="L4" s="4"/>
      <x:c r="M4" s="4"/>
      <x:c r="N4" s="4"/>
      <x:c r="O4" s="4"/>
      <x:c r="P4" s="4"/>
      <x:c r="Q4" s="4"/>
      <x:c r="R4" s="4"/>
    </x:row>
    <x:row r="5" ht="34" customHeight="1">
      <x:c r="A5" s="4"/>
      <x:c r="B5" s="34" t="str">
        <x:v>FY2026E</x:v>
      </x:c>
      <x:c r="C5" s="34" t="str">
        <x:v>FY2027E</x:v>
      </x:c>
      <x:c r="D5" s="34" t="str">
        <x:v>FY2028E</x:v>
      </x:c>
      <x:c r="E5" s="34" t="str">
        <x:v>FY2029E</x:v>
      </x:c>
      <x:c r="F5" s="34" t="str">
        <x:v>FY2030E</x:v>
      </x:c>
      <x:c r="G5" s="36"/>
      <x:c r="H5" s="34" t="str">
        <x:v>FY2026E</x:v>
      </x:c>
      <x:c r="I5" s="34" t="str">
        <x:v>FY2027E</x:v>
      </x:c>
      <x:c r="J5" s="34" t="str">
        <x:v>FY2028E</x:v>
      </x:c>
      <x:c r="K5" s="34" t="str">
        <x:v>FY2029E</x:v>
      </x:c>
      <x:c r="L5" s="34" t="str">
        <x:v>FY2030E</x:v>
      </x:c>
      <x:c r="M5" s="36"/>
      <x:c r="N5" s="34" t="str">
        <x:v>FY2026E</x:v>
      </x:c>
      <x:c r="O5" s="34" t="str">
        <x:v>FY2027E</x:v>
      </x:c>
      <x:c r="P5" s="34" t="str">
        <x:v>FY2028E</x:v>
      </x:c>
      <x:c r="Q5" s="34" t="str">
        <x:v>FY2029E</x:v>
      </x:c>
      <x:c r="R5" s="34" t="str">
        <x:v>FY2030E</x:v>
      </x:c>
    </x:row>
    <x:row r="6" ht="23" customHeight="1">
      <x:c r="A6" s="4"/>
      <x:c r="B6" s="4"/>
      <x:c r="C6" s="4"/>
      <x:c r="D6" s="4"/>
      <x:c r="E6" s="4"/>
      <x:c r="F6" s="4"/>
      <x:c r="G6" s="4"/>
      <x:c r="H6" s="4"/>
      <x:c r="I6" s="4"/>
      <x:c r="J6" s="4"/>
      <x:c r="K6" s="4"/>
      <x:c r="L6" s="4"/>
      <x:c r="M6" s="4"/>
      <x:c r="N6" s="4"/>
      <x:c r="O6" s="4"/>
      <x:c r="P6" s="4"/>
      <x:c r="Q6" s="4"/>
      <x:c r="R6" s="4"/>
    </x:row>
    <x:row r="7" ht="23" customHeight="1">
      <x:c r="A7" s="6" t="str">
        <x:v>Fiscal year-end</x:v>
      </x:c>
      <x:c r="B7" s="135" t="n">
        <x:f>DATE(VALUE(MID(B$5,3,4)),7,31)</x:f>
        <x:v>46234</x:v>
      </x:c>
      <x:c r="C7" s="135" t="n">
        <x:f>DATE(VALUE(MID(C$5,3,4)),7,31)</x:f>
        <x:v>46599</x:v>
      </x:c>
      <x:c r="D7" s="135" t="n">
        <x:f>DATE(VALUE(MID(D$5,3,4)),7,31)</x:f>
        <x:v>46965</x:v>
      </x:c>
      <x:c r="E7" s="135" t="n">
        <x:f>DATE(VALUE(MID(E$5,3,4)),7,31)</x:f>
        <x:v>47330</x:v>
      </x:c>
      <x:c r="F7" s="135" t="n">
        <x:f>DATE(VALUE(MID(F$5,3,4)),7,31)</x:f>
        <x:v>47695</x:v>
      </x:c>
      <x:c r="G7" s="4"/>
      <x:c r="H7" s="135" t="n">
        <x:f>DATE(VALUE(MID(H$5,3,4)),7,31)</x:f>
        <x:v>46234</x:v>
      </x:c>
      <x:c r="I7" s="135" t="n">
        <x:f>DATE(VALUE(MID(I$5,3,4)),7,31)</x:f>
        <x:v>46599</x:v>
      </x:c>
      <x:c r="J7" s="135" t="n">
        <x:f>DATE(VALUE(MID(J$5,3,4)),7,31)</x:f>
        <x:v>46965</x:v>
      </x:c>
      <x:c r="K7" s="135" t="n">
        <x:f>DATE(VALUE(MID(K$5,3,4)),7,31)</x:f>
        <x:v>47330</x:v>
      </x:c>
      <x:c r="L7" s="135" t="n">
        <x:f>DATE(VALUE(MID(L$5,3,4)),7,31)</x:f>
        <x:v>47695</x:v>
      </x:c>
      <x:c r="M7" s="4"/>
      <x:c r="N7" s="135" t="n">
        <x:f>DATE(VALUE(MID(N$5,3,4)),7,31)</x:f>
        <x:v>46234</x:v>
      </x:c>
      <x:c r="O7" s="135" t="n">
        <x:f>DATE(VALUE(MID(O$5,3,4)),7,31)</x:f>
        <x:v>46599</x:v>
      </x:c>
      <x:c r="P7" s="135" t="n">
        <x:f>DATE(VALUE(MID(P$5,3,4)),7,31)</x:f>
        <x:v>46965</x:v>
      </x:c>
      <x:c r="Q7" s="135" t="n">
        <x:f>DATE(VALUE(MID(Q$5,3,4)),7,31)</x:f>
        <x:v>47330</x:v>
      </x:c>
      <x:c r="R7" s="135" t="n">
        <x:f>DATE(VALUE(MID(R$5,3,4)),7,31)</x:f>
        <x:v>47695</x:v>
      </x:c>
    </x:row>
    <x:row r="8" ht="28" customHeight="1">
      <x:c r="A8" s="7" t="str">
        <x:v>Estimated U.S. insurer service revenue</x:v>
      </x:c>
      <x:c r="B8" s="124" t="n">
        <x:f>('Assumptions'!$C$16+('Historical'!$G$9-'Assumptions'!$C$17)*(1+'Assumptions'!$C$22))*'Assumptions'!$C$6</x:f>
        <x:v>2766.8776432500003</x:v>
      </x:c>
      <x:c r="C8" s="124" t="n">
        <x:f>B8*(1+'Assumptions'!$D$32)*(1+'Assumptions'!$D$33)</x:f>
        <x:v>2966.5632027633524</x:v>
      </x:c>
      <x:c r="D8" s="124" t="n">
        <x:f>C8*(1+'Assumptions'!$E$32)*(1+'Assumptions'!$E$33)</x:f>
        <x:v>3165.3466698541197</x:v>
      </x:c>
      <x:c r="E8" s="124" t="n">
        <x:f>D8*(1+'Assumptions'!$F$32)*(1+'Assumptions'!$F$33)</x:f>
        <x:v>3357.913699861365</x:v>
      </x:c>
      <x:c r="F8" s="124" t="n">
        <x:f>E8*(1+'Assumptions'!$G$32)*(1+'Assumptions'!$G$33)</x:f>
        <x:v>3538.0993489959255</x:v>
      </x:c>
      <x:c r="G8" s="4"/>
      <x:c r="H8" s="124" t="n">
        <x:f>('Assumptions'!$C$16+('Historical'!$G$9-'Assumptions'!$C$17)*(1+'Assumptions'!$C$22))*'Assumptions'!$C$6</x:f>
        <x:v>2766.8776432500003</x:v>
      </x:c>
      <x:c r="I8" s="124" t="n">
        <x:f>H8*(1+'Assumptions'!$D$50)*(1+'Assumptions'!$D$51)</x:f>
        <x:v>2822.4918838793255</x:v>
      </x:c>
      <x:c r="J8" s="124" t="n">
        <x:f>I8*(1+'Assumptions'!$E$50)*(1+'Assumptions'!$E$51)</x:f>
        <x:v>2913.489022215595</x:v>
      </x:c>
      <x:c r="K8" s="124" t="n">
        <x:f>J8*(1+'Assumptions'!$F$50)*(1+'Assumptions'!$F$51)</x:f>
        <x:v>3031.121141487549</x:v>
      </x:c>
      <x:c r="L8" s="124" t="n">
        <x:f>K8*(1+'Assumptions'!$G$50)*(1+'Assumptions'!$G$51)</x:f>
        <x:v>3153.502657575108</x:v>
      </x:c>
      <x:c r="M8" s="4"/>
      <x:c r="N8" s="124" t="n">
        <x:f>('Assumptions'!$C$16+('Historical'!$G$9-'Assumptions'!$C$17)*(1+'Assumptions'!$C$22))*'Assumptions'!$C$6</x:f>
        <x:v>2766.8776432500003</x:v>
      </x:c>
      <x:c r="O8" s="124" t="n">
        <x:f>N8*(1+'Assumptions'!$D$68)*(1+'Assumptions'!$D$69)</x:f>
        <x:v>3055.2969687823806</x:v>
      </x:c>
      <x:c r="P8" s="124" t="n">
        <x:f>O8*(1+'Assumptions'!$E$68)*(1+'Assumptions'!$E$69)</x:f>
        <x:v>3351.5080099058323</x:v>
      </x:c>
      <x:c r="Q8" s="124" t="n">
        <x:f>P8*(1+'Assumptions'!$F$68)*(1+'Assumptions'!$F$69)</x:f>
        <x:v>3627.77281516237</x:v>
      </x:c>
      <x:c r="R8" s="124" t="n">
        <x:f>Q8*(1+'Assumptions'!$G$68)*(1+'Assumptions'!$G$69)</x:f>
        <x:v>3878.2161114571036</x:v>
      </x:c>
    </x:row>
    <x:row r="9" ht="28" customHeight="1">
      <x:c r="A9" s="7" t="str">
        <x:v>Estimated U.S. other service revenue</x:v>
      </x:c>
      <x:c r="B9" s="124" t="n">
        <x:f>('Assumptions'!$C$16+('Historical'!$G$9-'Assumptions'!$C$17)*(1+'Assumptions'!$C$22))-B8</x:f>
        <x:v>649.0206817499998</x:v>
      </x:c>
      <x:c r="C9" s="124" t="n">
        <x:f>B9*(1+'Assumptions'!$D$34)*(1+'Assumptions'!$D$35)</x:f>
        <x:v>698.4111556311748</x:v>
      </x:c>
      <x:c r="D9" s="124" t="n">
        <x:f>C9*(1+'Assumptions'!$E$34)*(1+'Assumptions'!$E$35)</x:f>
        <x:v>747.9983476809882</x:v>
      </x:c>
      <x:c r="E9" s="124" t="n">
        <x:f>D9*(1+'Assumptions'!$F$34)*(1+'Assumptions'!$F$35)</x:f>
        <x:v>797.2914387931653</x:v>
      </x:c>
      <x:c r="F9" s="124" t="n">
        <x:f>E9*(1+'Assumptions'!$G$34)*(1+'Assumptions'!$G$35)</x:f>
        <x:v>845.7667582717899</x:v>
      </x:c>
      <x:c r="G9" s="4"/>
      <x:c r="H9" s="124" t="n">
        <x:f>('Assumptions'!$C$16+('Historical'!$G$9-'Assumptions'!$C$17)*(1+'Assumptions'!$C$22))-H8</x:f>
        <x:v>649.0206817499998</x:v>
      </x:c>
      <x:c r="I9" s="124" t="n">
        <x:f>H9*(1+'Assumptions'!$D$52)*(1+'Assumptions'!$D$53)</x:f>
        <x:v>665.3435518960122</x:v>
      </x:c>
      <x:c r="J9" s="124" t="n">
        <x:f>I9*(1+'Assumptions'!$E$52)*(1+'Assumptions'!$E$53)</x:f>
        <x:v>686.7942280091396</x:v>
      </x:c>
      <x:c r="K9" s="124" t="n">
        <x:f>J9*(1+'Assumptions'!$F$52)*(1+'Assumptions'!$F$53)</x:f>
        <x:v>714.5235449650086</x:v>
      </x:c>
      <x:c r="L9" s="124" t="n">
        <x:f>K9*(1+'Assumptions'!$G$52)*(1+'Assumptions'!$G$53)</x:f>
        <x:v>743.3724330929706</x:v>
      </x:c>
      <x:c r="M9" s="4"/>
      <x:c r="N9" s="124" t="n">
        <x:f>('Assumptions'!$C$16+('Historical'!$G$9-'Assumptions'!$C$17)*(1+'Assumptions'!$C$22))-N8</x:f>
        <x:v>649.0206817499998</x:v>
      </x:c>
      <x:c r="O9" s="124" t="n">
        <x:f>N9*(1+'Assumptions'!$D$70)*(1+'Assumptions'!$D$71)</x:f>
        <x:v>718.4658946972497</x:v>
      </x:c>
      <x:c r="P9" s="124" t="n">
        <x:f>O9*(1+'Assumptions'!$E$70)*(1+'Assumptions'!$E$71)</x:f>
        <x:v>787.9774700092087</x:v>
      </x:c>
      <x:c r="Q9" s="124" t="n">
        <x:f>P9*(1+'Assumptions'!$F$70)*(1+'Assumptions'!$F$71)</x:f>
        <x:v>854.4670089285856</x:v>
      </x:c>
      <x:c r="R9" s="124" t="n">
        <x:f>Q9*(1+'Assumptions'!$G$70)*(1+'Assumptions'!$G$71)</x:f>
        <x:v>915.1341665625152</x:v>
      </x:c>
    </x:row>
    <x:row r="10" ht="23" customHeight="1">
      <x:c r="A10" s="6" t="str">
        <x:v>International service revenue</x:v>
      </x:c>
      <x:c r="B10" s="124" t="n">
        <x:f>'Assumptions'!$C$18+('Historical'!$G$10-'Assumptions'!$C$19)*(1+'Assumptions'!$C$23)</x:f>
        <x:v>571.41868</x:v>
      </x:c>
      <x:c r="C10" s="124" t="n">
        <x:f>B10*(1+'Assumptions'!$D$36)*(1+'Assumptions'!$D$37)</x:f>
        <x:v>632.56047876</x:v>
      </x:c>
      <x:c r="D10" s="124" t="n">
        <x:f>C10*(1+'Assumptions'!$E$36)*(1+'Assumptions'!$E$37)</x:f>
        <x:v>693.7607050800301</x:v>
      </x:c>
      <x:c r="E10" s="124" t="n">
        <x:f>D10*(1+'Assumptions'!$F$36)*(1+'Assumptions'!$F$37)</x:f>
        <x:v>752.3002333746831</x:v>
      </x:c>
      <x:c r="F10" s="124" t="n">
        <x:f>E10*(1+'Assumptions'!$G$36)*(1+'Assumptions'!$G$37)</x:f>
        <x:v>805.7135499442857</x:v>
      </x:c>
      <x:c r="G10" s="4"/>
      <x:c r="H10" s="124" t="n">
        <x:f>'Assumptions'!$C$18+('Historical'!$G$10-'Assumptions'!$C$19)*(1+'Assumptions'!$C$23)</x:f>
        <x:v>571.41868</x:v>
      </x:c>
      <x:c r="I10" s="124" t="n">
        <x:f>H10*(1+'Assumptions'!$D$54)*(1+'Assumptions'!$D$55)</x:f>
        <x:v>603.1895586079999</x:v>
      </x:c>
      <x:c r="J10" s="124" t="n">
        <x:f>I10*(1+'Assumptions'!$E$54)*(1+'Assumptions'!$E$55)</x:f>
        <x:v>639.7880850765401</x:v>
      </x:c>
      <x:c r="K10" s="124" t="n">
        <x:f>J10*(1+'Assumptions'!$F$54)*(1+'Assumptions'!$F$55)</x:f>
        <x:v>679.944384236369</x:v>
      </x:c>
      <x:c r="L10" s="124" t="n">
        <x:f>K10*(1+'Assumptions'!$G$54)*(1+'Assumptions'!$G$55)</x:f>
        <x:v>719.1635763191227</x:v>
      </x:c>
      <x:c r="M10" s="4"/>
      <x:c r="N10" s="124" t="n">
        <x:f>'Assumptions'!$C$18+('Historical'!$G$10-'Assumptions'!$C$19)*(1+'Assumptions'!$C$23)</x:f>
        <x:v>571.41868</x:v>
      </x:c>
      <x:c r="O10" s="124" t="n">
        <x:f>N10*(1+'Assumptions'!$D$72)*(1+'Assumptions'!$D$73)</x:f>
        <x:v>647.41736444</x:v>
      </x:c>
      <x:c r="P10" s="124" t="n">
        <x:f>O10*(1+'Assumptions'!$E$72)*(1+'Assumptions'!$E$73)</x:f>
        <x:v>726.855475056788</x:v>
      </x:c>
      <x:c r="Q10" s="124" t="n">
        <x:f>P10*(1+'Assumptions'!$F$72)*(1+'Assumptions'!$F$73)</x:f>
        <x:v>806.199018713987</x:v>
      </x:c>
      <x:c r="R10" s="124" t="n">
        <x:f>Q10*(1+'Assumptions'!$G$72)*(1+'Assumptions'!$G$73)</x:f>
        <x:v>878.3497998937952</x:v>
      </x:c>
    </x:row>
    <x:row r="11" ht="23" customHeight="1">
      <x:c r="A11" s="6" t="str">
        <x:v>Total service revenue</x:v>
      </x:c>
      <x:c r="B11" s="100" t="n">
        <x:f>SUM(B8:B10)</x:f>
        <x:v>3987.317005</x:v>
      </x:c>
      <x:c r="C11" s="100" t="n">
        <x:f>SUM(C8:C10)</x:f>
        <x:v>4297.534837154528</x:v>
      </x:c>
      <x:c r="D11" s="100" t="n">
        <x:f>SUM(D8:D10)</x:f>
        <x:v>4607.105722615138</x:v>
      </x:c>
      <x:c r="E11" s="100" t="n">
        <x:f>SUM(E8:E10)</x:f>
        <x:v>4907.505372029213</x:v>
      </x:c>
      <x:c r="F11" s="100" t="n">
        <x:f>SUM(F8:F10)</x:f>
        <x:v>5189.579657212001</x:v>
      </x:c>
      <x:c r="G11" s="4"/>
      <x:c r="H11" s="100" t="n">
        <x:f>SUM(H8:H10)</x:f>
        <x:v>3987.317005</x:v>
      </x:c>
      <x:c r="I11" s="100" t="n">
        <x:f>SUM(I8:I10)</x:f>
        <x:v>4091.024994383338</x:v>
      </x:c>
      <x:c r="J11" s="100" t="n">
        <x:f>SUM(J8:J10)</x:f>
        <x:v>4240.071335301275</x:v>
      </x:c>
      <x:c r="K11" s="100" t="n">
        <x:f>SUM(K8:K10)</x:f>
        <x:v>4425.589070688927</x:v>
      </x:c>
      <x:c r="L11" s="100" t="n">
        <x:f>SUM(L8:L10)</x:f>
        <x:v>4616.038666987201</x:v>
      </x:c>
      <x:c r="M11" s="4"/>
      <x:c r="N11" s="100" t="n">
        <x:f>SUM(N8:N10)</x:f>
        <x:v>3987.317005</x:v>
      </x:c>
      <x:c r="O11" s="100" t="n">
        <x:f>SUM(O8:O10)</x:f>
        <x:v>4421.18022791963</x:v>
      </x:c>
      <x:c r="P11" s="100" t="n">
        <x:f>SUM(P8:P10)</x:f>
        <x:v>4866.340954971829</x:v>
      </x:c>
      <x:c r="Q11" s="100" t="n">
        <x:f>SUM(Q8:Q10)</x:f>
        <x:v>5288.438842804943</x:v>
      </x:c>
      <x:c r="R11" s="100" t="n">
        <x:f>SUM(R8:R10)</x:f>
        <x:v>5671.700077913414</x:v>
      </x:c>
    </x:row>
    <x:row r="12" ht="23" customHeight="1">
      <x:c r="A12" s="6" t="str">
        <x:v>Owned-vehicle sales</x:v>
      </x:c>
      <x:c r="B12" s="124" t="n">
        <x:f>'Assumptions'!$C$20+('Historical'!$G$8-'Assumptions'!$C$21)*(1+'Assumptions'!$C$24)</x:f>
        <x:v>686.05976</x:v>
      </x:c>
      <x:c r="C12" s="124" t="n">
        <x:f>B12*(1+'Assumptions'!$D$38)</x:f>
        <x:v>699.7809552</x:v>
      </x:c>
      <x:c r="D12" s="124" t="n">
        <x:f>C12*(1+'Assumptions'!$E$38)</x:f>
        <x:v>713.776574304</x:v>
      </x:c>
      <x:c r="E12" s="124" t="n">
        <x:f>D12*(1+'Assumptions'!$F$38)</x:f>
        <x:v>724.4832229185599</x:v>
      </x:c>
      <x:c r="F12" s="124" t="n">
        <x:f>E12*(1+'Assumptions'!$G$38)</x:f>
        <x:v>731.7280551477455</x:v>
      </x:c>
      <x:c r="G12" s="4"/>
      <x:c r="H12" s="124" t="n">
        <x:f>'Assumptions'!$C$20+('Historical'!$G$8-'Assumptions'!$C$21)*(1+'Assumptions'!$C$24)</x:f>
        <x:v>686.05976</x:v>
      </x:c>
      <x:c r="I12" s="124" t="n">
        <x:f>H12*(1+'Assumptions'!$D$56)</x:f>
        <x:v>672.3385648</x:v>
      </x:c>
      <x:c r="J12" s="124" t="n">
        <x:f>I12*(1+'Assumptions'!$E$56)</x:f>
        <x:v>672.3385648</x:v>
      </x:c>
      <x:c r="K12" s="124" t="n">
        <x:f>J12*(1+'Assumptions'!$F$56)</x:f>
        <x:v>675.7002576239998</x:v>
      </x:c>
      <x:c r="L12" s="124" t="n">
        <x:f>K12*(1+'Assumptions'!$G$56)</x:f>
        <x:v>682.4572602002398</x:v>
      </x:c>
      <x:c r="M12" s="4"/>
      <x:c r="N12" s="124" t="n">
        <x:f>'Assumptions'!$C$20+('Historical'!$G$8-'Assumptions'!$C$21)*(1+'Assumptions'!$C$24)</x:f>
        <x:v>686.05976</x:v>
      </x:c>
      <x:c r="O12" s="124" t="n">
        <x:f>N12*(1+'Assumptions'!$D$74)</x:f>
        <x:v>713.5021504</x:v>
      </x:c>
      <x:c r="P12" s="124" t="n">
        <x:f>O12*(1+'Assumptions'!$E$74)</x:f>
        <x:v>738.474725664</x:v>
      </x:c>
      <x:c r="Q12" s="124" t="n">
        <x:f>P12*(1+'Assumptions'!$F$74)</x:f>
        <x:v>760.6289674339199</x:v>
      </x:c>
      <x:c r="R12" s="124" t="n">
        <x:f>Q12*(1+'Assumptions'!$G$74)</x:f>
        <x:v>775.8415467825984</x:v>
      </x:c>
    </x:row>
    <x:row r="13" ht="23" customHeight="1">
      <x:c r="A13" s="6" t="str">
        <x:v>Total revenue</x:v>
      </x:c>
      <x:c r="B13" s="100" t="n">
        <x:f>B11+B12</x:f>
        <x:v>4673.376765</x:v>
      </x:c>
      <x:c r="C13" s="100" t="n">
        <x:f>C11+C12</x:f>
        <x:v>4997.315792354528</x:v>
      </x:c>
      <x:c r="D13" s="100" t="n">
        <x:f>D11+D12</x:f>
        <x:v>5320.882296919138</x:v>
      </x:c>
      <x:c r="E13" s="100" t="n">
        <x:f>E11+E12</x:f>
        <x:v>5631.988594947772</x:v>
      </x:c>
      <x:c r="F13" s="100" t="n">
        <x:f>F11+F12</x:f>
        <x:v>5921.307712359746</x:v>
      </x:c>
      <x:c r="G13" s="4"/>
      <x:c r="H13" s="100" t="n">
        <x:f>H11+H12</x:f>
        <x:v>4673.376765</x:v>
      </x:c>
      <x:c r="I13" s="100" t="n">
        <x:f>I11+I12</x:f>
        <x:v>4763.363559183338</x:v>
      </x:c>
      <x:c r="J13" s="100" t="n">
        <x:f>J11+J12</x:f>
        <x:v>4912.4099001012755</x:v>
      </x:c>
      <x:c r="K13" s="100" t="n">
        <x:f>K11+K12</x:f>
        <x:v>5101.289328312927</x:v>
      </x:c>
      <x:c r="L13" s="100" t="n">
        <x:f>L11+L12</x:f>
        <x:v>5298.495927187441</x:v>
      </x:c>
      <x:c r="M13" s="4"/>
      <x:c r="N13" s="100" t="n">
        <x:f>N11+N12</x:f>
        <x:v>4673.376765</x:v>
      </x:c>
      <x:c r="O13" s="100" t="n">
        <x:f>O11+O12</x:f>
        <x:v>5134.68237831963</x:v>
      </x:c>
      <x:c r="P13" s="100" t="n">
        <x:f>P11+P12</x:f>
        <x:v>5604.815680635829</x:v>
      </x:c>
      <x:c r="Q13" s="100" t="n">
        <x:f>Q11+Q12</x:f>
        <x:v>6049.067810238863</x:v>
      </x:c>
      <x:c r="R13" s="100" t="n">
        <x:f>R11+R12</x:f>
        <x:v>6447.541624696012</x:v>
      </x:c>
    </x:row>
    <x:row r="14" ht="23" customHeight="1">
      <x:c r="A14" s="4"/>
      <x:c r="B14" s="4"/>
      <x:c r="C14" s="4"/>
      <x:c r="D14" s="4"/>
      <x:c r="E14" s="4"/>
      <x:c r="F14" s="4"/>
      <x:c r="G14" s="4"/>
      <x:c r="H14" s="4"/>
      <x:c r="I14" s="4"/>
      <x:c r="J14" s="4"/>
      <x:c r="K14" s="4"/>
      <x:c r="L14" s="4"/>
      <x:c r="M14" s="4"/>
      <x:c r="N14" s="4"/>
      <x:c r="O14" s="4"/>
      <x:c r="P14" s="4"/>
      <x:c r="Q14" s="4"/>
      <x:c r="R14" s="4"/>
    </x:row>
    <x:row r="15" ht="23" customHeight="1">
      <x:c r="A15" s="6" t="str">
        <x:v>Facility / yard operations</x:v>
      </x:c>
      <x:c r="B15" s="124" t="n">
        <x:f>B11*'Assumptions'!$C$39</x:f>
        <x:v>1945.81069844</x:v>
      </x:c>
      <x:c r="C15" s="124" t="n">
        <x:f>C11*'Assumptions'!$D$39</x:f>
        <x:v>2105.7920702057186</x:v>
      </x:c>
      <x:c r="D15" s="124" t="n">
        <x:f>D11*'Assumptions'!$E$39</x:f>
        <x:v>2248.267592636187</x:v>
      </x:c>
      <x:c r="E15" s="124" t="n">
        <x:f>E11*'Assumptions'!$F$39</x:f>
        <x:v>2389.9551161782265</x:v>
      </x:c>
      <x:c r="F15" s="124" t="n">
        <x:f>F11*'Assumptions'!$G$39</x:f>
        <x:v>2516.94613374782</x:v>
      </x:c>
      <x:c r="G15" s="4"/>
      <x:c r="H15" s="124" t="n">
        <x:f>H11*'Assumptions'!$C$57</x:f>
        <x:v>1973.7219174749998</x:v>
      </x:c>
      <x:c r="I15" s="124" t="n">
        <x:f>I11*'Assumptions'!$D$57</x:f>
        <x:v>2025.057372219752</x:v>
      </x:c>
      <x:c r="J15" s="124" t="n">
        <x:f>J11*'Assumptions'!$E$57</x:f>
        <x:v>2086.1150969682276</x:v>
      </x:c>
      <x:c r="K15" s="124" t="n">
        <x:f>K11*'Assumptions'!$F$57</x:f>
        <x:v>2168.538644637574</x:v>
      </x:c>
      <x:c r="L15" s="124" t="n">
        <x:f>L11*'Assumptions'!$G$57</x:f>
        <x:v>2252.6268694897544</x:v>
      </x:c>
      <x:c r="M15" s="4"/>
      <x:c r="N15" s="124" t="n">
        <x:f>N11*'Assumptions'!$C$75</x:f>
        <x:v>1913.9121624</x:v>
      </x:c>
      <x:c r="O15" s="124" t="n">
        <x:f>O11*'Assumptions'!$D$75</x:f>
        <x:v>2100.060608261824</x:v>
      </x:c>
      <x:c r="P15" s="124" t="n">
        <x:f>P11*'Assumptions'!$E$75</x:f>
        <x:v>2287.1802488367593</x:v>
      </x:c>
      <x:c r="Q15" s="124" t="n">
        <x:f>Q11*'Assumptions'!$F$75</x:f>
        <x:v>2469.7009395899086</x:v>
      </x:c>
      <x:c r="R15" s="124" t="n">
        <x:f>R11*'Assumptions'!$G$75</x:f>
        <x:v>2637.3405362297376</x:v>
      </x:c>
    </x:row>
    <x:row r="16" ht="23" customHeight="1">
      <x:c r="A16" s="6" t="str">
        <x:v>Cost of vehicle sales</x:v>
      </x:c>
      <x:c r="B16" s="124" t="n">
        <x:f>B12*'Assumptions'!$C$40</x:f>
        <x:v>607.1628876</x:v>
      </x:c>
      <x:c r="C16" s="124" t="n">
        <x:f>C12*'Assumptions'!$D$40</x:f>
        <x:v>619.306145352</x:v>
      </x:c>
      <x:c r="D16" s="124" t="n">
        <x:f>D12*'Assumptions'!$E$40</x:f>
        <x:v>629.550938536128</x:v>
      </x:c>
      <x:c r="E16" s="124" t="n">
        <x:f>E12*'Assumptions'!$F$40</x:f>
        <x:v>637.5452361683327</x:v>
      </x:c>
      <x:c r="F16" s="124" t="n">
        <x:f>F12*'Assumptions'!$G$40</x:f>
        <x:v>643.920688530016</x:v>
      </x:c>
      <x:c r="G16" s="4"/>
      <x:c r="H16" s="124" t="n">
        <x:f>H12*'Assumptions'!$C$58</x:f>
        <x:v>614.0234852</x:v>
      </x:c>
      <x:c r="I16" s="124" t="n">
        <x:f>I12*'Assumptions'!$D$58</x:f>
        <x:v>601.743015496</x:v>
      </x:c>
      <x:c r="J16" s="124" t="n">
        <x:f>J12*'Assumptions'!$E$58</x:f>
        <x:v>599.7259998016</x:v>
      </x:c>
      <x:c r="K16" s="124" t="n">
        <x:f>K12*'Assumptions'!$F$58</x:f>
        <x:v>601.3732292853599</x:v>
      </x:c>
      <x:c r="L16" s="124" t="n">
        <x:f>L12*'Assumptions'!$G$58</x:f>
        <x:v>607.3869615782135</x:v>
      </x:c>
      <x:c r="M16" s="4"/>
      <x:c r="N16" s="124" t="n">
        <x:f>N12*'Assumptions'!$C$76</x:f>
        <x:v>603.7325888</x:v>
      </x:c>
      <x:c r="O16" s="124" t="n">
        <x:f>O12*'Assumptions'!$D$76</x:f>
        <x:v>626.4548880512</x:v>
      </x:c>
      <x:c r="P16" s="124" t="n">
        <x:f>P12*'Assumptions'!$E$76</x:f>
        <x:v>646.1653849559999</x:v>
      </x:c>
      <x:c r="Q16" s="124" t="n">
        <x:f>Q12*'Assumptions'!$F$76</x:f>
        <x:v>664.0290885698121</x:v>
      </x:c>
      <x:c r="R16" s="124" t="n">
        <x:f>R12*'Assumptions'!$G$76</x:f>
        <x:v>674.9821457008605</x:v>
      </x:c>
    </x:row>
    <x:row r="17" ht="23" customHeight="1">
      <x:c r="A17" s="6" t="str">
        <x:v>Gross profit</x:v>
      </x:c>
      <x:c r="B17" s="100" t="n">
        <x:f>B13-B15-B16</x:f>
        <x:v>2120.40317896</x:v>
      </x:c>
      <x:c r="C17" s="100" t="n">
        <x:f>C13-C15-C16</x:f>
        <x:v>2272.217576796809</x:v>
      </x:c>
      <x:c r="D17" s="100" t="n">
        <x:f>D13-D15-D16</x:f>
        <x:v>2443.063765746823</x:v>
      </x:c>
      <x:c r="E17" s="100" t="n">
        <x:f>E13-E15-E16</x:f>
        <x:v>2604.4882426012127</x:v>
      </x:c>
      <x:c r="F17" s="100" t="n">
        <x:f>F13-F15-F16</x:f>
        <x:v>2760.44089008191</x:v>
      </x:c>
      <x:c r="G17" s="4"/>
      <x:c r="H17" s="100" t="n">
        <x:f>H13-H15-H16</x:f>
        <x:v>2085.6313623250003</x:v>
      </x:c>
      <x:c r="I17" s="100" t="n">
        <x:f>I13-I15-I16</x:f>
        <x:v>2136.5631714675856</x:v>
      </x:c>
      <x:c r="J17" s="100" t="n">
        <x:f>J13-J15-J16</x:f>
        <x:v>2226.568803331448</x:v>
      </x:c>
      <x:c r="K17" s="100" t="n">
        <x:f>K13-K15-K16</x:f>
        <x:v>2331.3774543899926</x:v>
      </x:c>
      <x:c r="L17" s="100" t="n">
        <x:f>L13-L15-L16</x:f>
        <x:v>2438.4820961194737</x:v>
      </x:c>
      <x:c r="M17" s="4"/>
      <x:c r="N17" s="100" t="n">
        <x:f>N13-N15-N16</x:f>
        <x:v>2155.7320138</x:v>
      </x:c>
      <x:c r="O17" s="100" t="n">
        <x:f>O13-O15-O16</x:f>
        <x:v>2408.166882006605</x:v>
      </x:c>
      <x:c r="P17" s="100" t="n">
        <x:f>P13-P15-P16</x:f>
        <x:v>2671.47004684307</x:v>
      </x:c>
      <x:c r="Q17" s="100" t="n">
        <x:f>Q13-Q15-Q16</x:f>
        <x:v>2915.337782079142</x:v>
      </x:c>
      <x:c r="R17" s="100" t="n">
        <x:f>R13-R15-R16</x:f>
        <x:v>3135.218942765414</x:v>
      </x:c>
    </x:row>
    <x:row r="18" ht="23" customHeight="1">
      <x:c r="A18" s="6" t="str">
        <x:v>Gross margin</x:v>
      </x:c>
      <x:c r="B18" s="137" t="n">
        <x:f>B17/B13</x:f>
        <x:v>0.4537197160819966</x:v>
      </x:c>
      <x:c r="C18" s="137" t="n">
        <x:f>C17/C13</x:f>
        <x:v>0.4546876105514706</x:v>
      </x:c>
      <x:c r="D18" s="137" t="n">
        <x:f>D17/D13</x:f>
        <x:v>0.45914636509839535</x:v>
      </x:c>
      <x:c r="E18" s="137" t="n">
        <x:f>E17/E13</x:f>
        <x:v>0.4624455818212404</x:v>
      </x:c>
      <x:c r="F18" s="137" t="n">
        <x:f>F17/F13</x:f>
        <x:v>0.46618771125843506</x:v>
      </x:c>
      <x:c r="G18" s="4"/>
      <x:c r="H18" s="137" t="n">
        <x:f>H17/H13</x:f>
        <x:v>0.4462793109138506</x:v>
      </x:c>
      <x:c r="I18" s="137" t="n">
        <x:f>I17/I13</x:f>
        <x:v>0.4485408566701744</x:v>
      </x:c>
      <x:c r="J18" s="137" t="n">
        <x:f>J17/J13</x:f>
        <x:v>0.4532538710349771</x:v>
      </x:c>
      <x:c r="K18" s="137" t="n">
        <x:f>K17/K13</x:f>
        <x:v>0.4570172958923336</x:v>
      </x:c>
      <x:c r="L18" s="137" t="n">
        <x:f>L17/L13</x:f>
        <x:v>0.4602215665783995</x:v>
      </x:c>
      <x:c r="M18" s="4"/>
      <x:c r="N18" s="137" t="n">
        <x:f>N17/N13</x:f>
        <x:v>0.46127931091385055</x:v>
      </x:c>
      <x:c r="O18" s="137" t="n">
        <x:f>O17/O13</x:f>
        <x:v>0.4690001648738201</x:v>
      </x:c>
      <x:c r="P18" s="137" t="n">
        <x:f>P17/P13</x:f>
        <x:v>0.4766383408597675</x:v>
      </x:c>
      <x:c r="Q18" s="137" t="n">
        <x:f>Q17/Q13</x:f>
        <x:v>0.48194827261558215</x:v>
      </x:c>
      <x:c r="R18" s="137" t="n">
        <x:f>R17/R13</x:f>
        <x:v>0.4862657932686449</x:v>
      </x:c>
    </x:row>
    <x:row r="19" ht="23" customHeight="1">
      <x:c r="A19" s="6" t="str">
        <x:v>General &amp; administrative</x:v>
      </x:c>
      <x:c r="B19" s="124" t="n">
        <x:f>B13*'Assumptions'!$C$41</x:f>
        <x:v>429.95066238</x:v>
      </x:c>
      <x:c r="C19" s="124" t="n">
        <x:f>C13*'Assumptions'!$D$41</x:f>
        <x:v>454.75573710426204</x:v>
      </x:c>
      <x:c r="D19" s="124" t="n">
        <x:f>D13*'Assumptions'!$E$41</x:f>
        <x:v>473.5585244258032</x:v>
      </x:c>
      <x:c r="E19" s="124" t="n">
        <x:f>E13*'Assumptions'!$F$41</x:f>
        <x:v>489.98300776045613</x:v>
      </x:c>
      <x:c r="F19" s="124" t="n">
        <x:f>F13*'Assumptions'!$G$41</x:f>
        <x:v>503.31115555057846</x:v>
      </x:c>
      <x:c r="G19" s="4"/>
      <x:c r="H19" s="124" t="n">
        <x:f>H13*'Assumptions'!$C$59</x:f>
        <x:v>457.99092297000004</x:v>
      </x:c>
      <x:c r="I19" s="124" t="n">
        <x:f>I13*'Assumptions'!$D$59</x:f>
        <x:v>457.2829016816005</x:v>
      </x:c>
      <x:c r="J19" s="124" t="n">
        <x:f>J13*'Assumptions'!$E$59</x:f>
        <x:v>461.7665306095199</x:v>
      </x:c>
      <x:c r="K19" s="124" t="n">
        <x:f>K13*'Assumptions'!$F$59</x:f>
        <x:v>469.3186182047893</x:v>
      </x:c>
      <x:c r="L19" s="124" t="n">
        <x:f>L13*'Assumptions'!$G$59</x:f>
        <x:v>476.8646334468697</x:v>
      </x:c>
      <x:c r="M19" s="4"/>
      <x:c r="N19" s="124" t="n">
        <x:f>N13*'Assumptions'!$C$77</x:f>
        <x:v>411.25715532</x:v>
      </x:c>
      <x:c r="O19" s="124" t="n">
        <x:f>O13*'Assumptions'!$D$77</x:f>
        <x:v>431.3133197788489</x:v>
      </x:c>
      <x:c r="P19" s="124" t="n">
        <x:f>P13*'Assumptions'!$E$77</x:f>
        <x:v>453.9900701315022</x:v>
      </x:c>
      <x:c r="Q19" s="124" t="n">
        <x:f>Q13*'Assumptions'!$F$77</x:f>
        <x:v>471.8272891986313</x:v>
      </x:c>
      <x:c r="R19" s="124" t="n">
        <x:f>R13*'Assumptions'!$G$77</x:f>
        <x:v>483.5656218522009</x:v>
      </x:c>
    </x:row>
    <x:row r="20" ht="23" customHeight="1">
      <x:c r="A20" s="6" t="str">
        <x:v>EBIT</x:v>
      </x:c>
      <x:c r="B20" s="100" t="n">
        <x:f>B17-B19</x:f>
        <x:v>1690.4525165799998</x:v>
      </x:c>
      <x:c r="C20" s="100" t="n">
        <x:f>C17-C19</x:f>
        <x:v>1817.461839692547</x:v>
      </x:c>
      <x:c r="D20" s="100" t="n">
        <x:f>D17-D19</x:f>
        <x:v>1969.5052413210196</x:v>
      </x:c>
      <x:c r="E20" s="100" t="n">
        <x:f>E17-E19</x:f>
        <x:v>2114.5052348407567</x:v>
      </x:c>
      <x:c r="F20" s="100" t="n">
        <x:f>F17-F19</x:f>
        <x:v>2257.1297345313315</x:v>
      </x:c>
      <x:c r="G20" s="4"/>
      <x:c r="H20" s="100" t="n">
        <x:f>H17-H19</x:f>
        <x:v>1627.6404393550001</x:v>
      </x:c>
      <x:c r="I20" s="100" t="n">
        <x:f>I17-I19</x:f>
        <x:v>1679.2802697859852</x:v>
      </x:c>
      <x:c r="J20" s="100" t="n">
        <x:f>J17-J19</x:f>
        <x:v>1764.8022727219281</x:v>
      </x:c>
      <x:c r="K20" s="100" t="n">
        <x:f>K17-K19</x:f>
        <x:v>1862.0588361852033</x:v>
      </x:c>
      <x:c r="L20" s="100" t="n">
        <x:f>L17-L19</x:f>
        <x:v>1961.617462672604</x:v>
      </x:c>
      <x:c r="M20" s="4"/>
      <x:c r="N20" s="100" t="n">
        <x:f>N17-N19</x:f>
        <x:v>1744.47485848</x:v>
      </x:c>
      <x:c r="O20" s="100" t="n">
        <x:f>O17-O19</x:f>
        <x:v>1976.8535622277564</x:v>
      </x:c>
      <x:c r="P20" s="100" t="n">
        <x:f>P17-P19</x:f>
        <x:v>2217.479976711568</x:v>
      </x:c>
      <x:c r="Q20" s="100" t="n">
        <x:f>Q17-Q19</x:f>
        <x:v>2443.510492880511</x:v>
      </x:c>
      <x:c r="R20" s="100" t="n">
        <x:f>R17-R19</x:f>
        <x:v>2651.653320913213</x:v>
      </x:c>
    </x:row>
    <x:row r="21" ht="23" customHeight="1">
      <x:c r="A21" s="6" t="str">
        <x:v>Operating margin</x:v>
      </x:c>
      <x:c r="B21" s="137" t="n">
        <x:f>B20/B13</x:f>
        <x:v>0.3617197160819966</x:v>
      </x:c>
      <x:c r="C21" s="137" t="n">
        <x:f>C20/C13</x:f>
        <x:v>0.3636876105514706</x:v>
      </x:c>
      <x:c r="D21" s="137" t="n">
        <x:f>D20/D13</x:f>
        <x:v>0.3701463650983953</x:v>
      </x:c>
      <x:c r="E21" s="137" t="n">
        <x:f>E20/E13</x:f>
        <x:v>0.37544558182124044</x:v>
      </x:c>
      <x:c r="F21" s="137" t="n">
        <x:f>F20/F13</x:f>
        <x:v>0.38118771125843504</x:v>
      </x:c>
      <x:c r="G21" s="4"/>
      <x:c r="H21" s="137" t="n">
        <x:f>H20/H13</x:f>
        <x:v>0.34827931091385056</x:v>
      </x:c>
      <x:c r="I21" s="137" t="n">
        <x:f>I20/I13</x:f>
        <x:v>0.35254085667017443</x:v>
      </x:c>
      <x:c r="J21" s="137" t="n">
        <x:f>J20/J13</x:f>
        <x:v>0.3592538710349771</x:v>
      </x:c>
      <x:c r="K21" s="137" t="n">
        <x:f>K20/K13</x:f>
        <x:v>0.36501729589233356</x:v>
      </x:c>
      <x:c r="L21" s="137" t="n">
        <x:f>L20/L13</x:f>
        <x:v>0.3702215665783995</x:v>
      </x:c>
      <x:c r="M21" s="4"/>
      <x:c r="N21" s="137" t="n">
        <x:f>N20/N13</x:f>
        <x:v>0.3732793109138505</x:v>
      </x:c>
      <x:c r="O21" s="137" t="n">
        <x:f>O20/O13</x:f>
        <x:v>0.38500016487382016</x:v>
      </x:c>
      <x:c r="P21" s="137" t="n">
        <x:f>P20/P13</x:f>
        <x:v>0.39563834085976746</x:v>
      </x:c>
      <x:c r="Q21" s="137" t="n">
        <x:f>Q20/Q13</x:f>
        <x:v>0.40394827261558214</x:v>
      </x:c>
      <x:c r="R21" s="137" t="n">
        <x:f>R20/R13</x:f>
        <x:v>0.41126579326864493</x:v>
      </x:c>
    </x:row>
    <x:row r="22" ht="23" customHeight="1">
      <x:c r="A22" s="4"/>
      <x:c r="B22" s="4"/>
      <x:c r="C22" s="4"/>
      <x:c r="D22" s="4"/>
      <x:c r="E22" s="4"/>
      <x:c r="F22" s="4"/>
      <x:c r="G22" s="4"/>
      <x:c r="H22" s="4"/>
      <x:c r="I22" s="4"/>
      <x:c r="J22" s="4"/>
      <x:c r="K22" s="4"/>
      <x:c r="L22" s="4"/>
      <x:c r="M22" s="4"/>
      <x:c r="N22" s="4"/>
      <x:c r="O22" s="4"/>
      <x:c r="P22" s="4"/>
      <x:c r="Q22" s="4"/>
      <x:c r="R22" s="4"/>
    </x:row>
    <x:row r="23" ht="23" customHeight="1">
      <x:c r="A23" s="6" t="str">
        <x:v>D&amp;A</x:v>
      </x:c>
      <x:c r="B23" s="124" t="n">
        <x:f>B13*'Assumptions'!$C$42</x:f>
        <x:v>224.32208472</x:v>
      </x:c>
      <x:c r="C23" s="124" t="n">
        <x:f>C13*'Assumptions'!$D$42</x:f>
        <x:v>234.8738422406628</x:v>
      </x:c>
      <x:c r="D23" s="124" t="n">
        <x:f>D13*'Assumptions'!$E$42</x:f>
        <x:v>244.76058565828035</x:v>
      </x:c>
      <x:c r="E23" s="124" t="n">
        <x:f>E13*'Assumptions'!$F$42</x:f>
        <x:v>253.43948677264973</x:v>
      </x:c>
      <x:c r="F23" s="124" t="n">
        <x:f>F13*'Assumptions'!$G$42</x:f>
        <x:v>260.5375393438288</x:v>
      </x:c>
      <x:c r="G23" s="4"/>
      <x:c r="H23" s="124" t="n">
        <x:f>H13*'Assumptions'!$C$60</x:f>
        <x:v>233.66883825000002</x:v>
      </x:c>
      <x:c r="I23" s="124" t="n">
        <x:f>I13*'Assumptions'!$D$60</x:f>
        <x:v>238.1681779591669</x:v>
      </x:c>
      <x:c r="J23" s="124" t="n">
        <x:f>J13*'Assumptions'!$E$60</x:f>
        <x:v>240.70808510496252</x:v>
      </x:c>
      <x:c r="K23" s="124" t="n">
        <x:f>K13*'Assumptions'!$F$60</x:f>
        <x:v>244.8618877590205</x:v>
      </x:c>
      <x:c r="L23" s="124" t="n">
        <x:f>L13*'Assumptions'!$G$60</x:f>
        <x:v>249.02930857780976</x:v>
      </x:c>
      <x:c r="M23" s="4"/>
      <x:c r="N23" s="124" t="n">
        <x:f>N13*'Assumptions'!$C$78</x:f>
        <x:v>219.648707955</x:v>
      </x:c>
      <x:c r="O23" s="124" t="n">
        <x:f>O13*'Assumptions'!$D$78</x:f>
        <x:v>236.19538940270297</x:v>
      </x:c>
      <x:c r="P23" s="124" t="n">
        <x:f>P13*'Assumptions'!$E$78</x:f>
        <x:v>252.21670562861232</x:v>
      </x:c>
      <x:c r="Q23" s="124" t="n">
        <x:f>Q13*'Assumptions'!$F$78</x:f>
        <x:v>266.1589836505099</x:v>
      </x:c>
      <x:c r="R23" s="124" t="n">
        <x:f>R13*'Assumptions'!$G$78</x:f>
        <x:v>277.2442898619285</x:v>
      </x:c>
    </x:row>
    <x:row r="24" ht="23" customHeight="1">
      <x:c r="A24" s="6" t="str">
        <x:v>Total capital expenditures</x:v>
      </x:c>
      <x:c r="B24" s="124" t="n">
        <x:f>B13*'Assumptions'!$C$43</x:f>
        <x:v>490.704560325</x:v>
      </x:c>
      <x:c r="C24" s="124" t="n">
        <x:f>C13*'Assumptions'!$D$43</x:f>
        <x:v>524.7181581972254</x:v>
      </x:c>
      <x:c r="D24" s="124" t="n">
        <x:f>D13*'Assumptions'!$E$43</x:f>
        <x:v>532.0882296919139</x:v>
      </x:c>
      <x:c r="E24" s="124" t="n">
        <x:f>E13*'Assumptions'!$F$43</x:f>
        <x:v>563.1988594947773</x:v>
      </x:c>
      <x:c r="F24" s="124" t="n">
        <x:f>F13*'Assumptions'!$G$43</x:f>
        <x:v>592.1307712359746</x:v>
      </x:c>
      <x:c r="G24" s="4"/>
      <x:c r="H24" s="124" t="n">
        <x:f>H13*'Assumptions'!$C$61</x:f>
        <x:v>514.07144415</x:v>
      </x:c>
      <x:c r="I24" s="124" t="n">
        <x:f>I13*'Assumptions'!$D$61</x:f>
        <x:v>571.6036271020006</x:v>
      </x:c>
      <x:c r="J24" s="124" t="n">
        <x:f>J13*'Assumptions'!$E$61</x:f>
        <x:v>564.9271385116467</x:v>
      </x:c>
      <x:c r="K24" s="124" t="n">
        <x:f>K13*'Assumptions'!$F$61</x:f>
        <x:v>561.141826114422</x:v>
      </x:c>
      <x:c r="L24" s="124" t="n">
        <x:f>L13*'Assumptions'!$G$61</x:f>
        <x:v>556.3420723546814</x:v>
      </x:c>
      <x:c r="M24" s="4"/>
      <x:c r="N24" s="124" t="n">
        <x:f>N13*'Assumptions'!$C$79</x:f>
        <x:v>467.33767650000004</x:v>
      </x:c>
      <x:c r="O24" s="124" t="n">
        <x:f>O13*'Assumptions'!$D$79</x:f>
        <x:v>513.4682378319629</x:v>
      </x:c>
      <x:c r="P24" s="124" t="n">
        <x:f>P13*'Assumptions'!$E$79</x:f>
        <x:v>532.4574896604038</x:v>
      </x:c>
      <x:c r="Q24" s="124" t="n">
        <x:f>Q13*'Assumptions'!$F$79</x:f>
        <x:v>544.4161029214977</x:v>
      </x:c>
      <x:c r="R24" s="124" t="n">
        <x:f>R13*'Assumptions'!$G$79</x:f>
        <x:v>548.041038099161</x:v>
      </x:c>
    </x:row>
    <x:row r="25" ht="28" customHeight="1">
      <x:c r="A25" s="7" t="str">
        <x:v>Maintenance capex (analyst allocation)</x:v>
      </x:c>
      <x:c r="B25" s="124" t="n">
        <x:f>B23*'Assumptions'!$C$44</x:f>
        <x:v>157.02545930399998</x:v>
      </x:c>
      <x:c r="C25" s="124" t="n">
        <x:f>C23*'Assumptions'!$D$44</x:f>
        <x:v>164.41168956846397</x:v>
      </x:c>
      <x:c r="D25" s="124" t="n">
        <x:f>D23*'Assumptions'!$E$44</x:f>
        <x:v>171.33240996079624</x:v>
      </x:c>
      <x:c r="E25" s="124" t="n">
        <x:f>E23*'Assumptions'!$F$44</x:f>
        <x:v>177.4076407408548</x:v>
      </x:c>
      <x:c r="F25" s="124" t="n">
        <x:f>F23*'Assumptions'!$G$44</x:f>
        <x:v>182.37627754068018</x:v>
      </x:c>
      <x:c r="G25" s="4"/>
      <x:c r="H25" s="124" t="n">
        <x:f>H23*'Assumptions'!$C$62</x:f>
        <x:v>168.24156354000002</x:v>
      </x:c>
      <x:c r="I25" s="124" t="n">
        <x:f>I23*'Assumptions'!$D$62</x:f>
        <x:v>171.48108813060017</x:v>
      </x:c>
      <x:c r="J25" s="124" t="n">
        <x:f>J23*'Assumptions'!$E$62</x:f>
        <x:v>173.309821275573</x:v>
      </x:c>
      <x:c r="K25" s="124" t="n">
        <x:f>K23*'Assumptions'!$F$62</x:f>
        <x:v>176.30055918649475</x:v>
      </x:c>
      <x:c r="L25" s="124" t="n">
        <x:f>L23*'Assumptions'!$G$62</x:f>
        <x:v>179.30110217602302</x:v>
      </x:c>
      <x:c r="M25" s="4"/>
      <x:c r="N25" s="124" t="n">
        <x:f>N23*'Assumptions'!$C$80</x:f>
        <x:v>149.3611214094</x:v>
      </x:c>
      <x:c r="O25" s="124" t="n">
        <x:f>O23*'Assumptions'!$D$80</x:f>
        <x:v>160.61286479383804</x:v>
      </x:c>
      <x:c r="P25" s="124" t="n">
        <x:f>P23*'Assumptions'!$E$80</x:f>
        <x:v>171.50735982745638</x:v>
      </x:c>
      <x:c r="Q25" s="124" t="n">
        <x:f>Q23*'Assumptions'!$F$80</x:f>
        <x:v>180.98810888234675</x:v>
      </x:c>
      <x:c r="R25" s="124" t="n">
        <x:f>R23*'Assumptions'!$G$80</x:f>
        <x:v>188.5261171061114</x:v>
      </x:c>
    </x:row>
    <x:row r="26" ht="28" customHeight="1">
      <x:c r="A26" s="7" t="str">
        <x:v>Growth capex / capacity (analyst allocation)</x:v>
      </x:c>
      <x:c r="B26" s="100" t="n">
        <x:f>B24-B25</x:f>
        <x:v>333.679101021</x:v>
      </x:c>
      <x:c r="C26" s="100" t="n">
        <x:f>C24-C25</x:f>
        <x:v>360.3064686287614</x:v>
      </x:c>
      <x:c r="D26" s="100" t="n">
        <x:f>D24-D25</x:f>
        <x:v>360.75581973111764</x:v>
      </x:c>
      <x:c r="E26" s="100" t="n">
        <x:f>E24-E25</x:f>
        <x:v>385.79121875392246</x:v>
      </x:c>
      <x:c r="F26" s="100" t="n">
        <x:f>F24-F25</x:f>
        <x:v>409.75449369529446</x:v>
      </x:c>
      <x:c r="G26" s="4"/>
      <x:c r="H26" s="100" t="n">
        <x:f>H24-H25</x:f>
        <x:v>345.82988061000003</x:v>
      </x:c>
      <x:c r="I26" s="100" t="n">
        <x:f>I24-I25</x:f>
        <x:v>400.12253897140045</x:v>
      </x:c>
      <x:c r="J26" s="100" t="n">
        <x:f>J24-J25</x:f>
        <x:v>391.61731723607375</x:v>
      </x:c>
      <x:c r="K26" s="100" t="n">
        <x:f>K24-K25</x:f>
        <x:v>384.8412669279272</x:v>
      </x:c>
      <x:c r="L26" s="100" t="n">
        <x:f>L24-L25</x:f>
        <x:v>377.0409701786583</x:v>
      </x:c>
      <x:c r="M26" s="4"/>
      <x:c r="N26" s="100" t="n">
        <x:f>N24-N25</x:f>
        <x:v>317.9765550906001</x:v>
      </x:c>
      <x:c r="O26" s="100" t="n">
        <x:f>O24-O25</x:f>
        <x:v>352.85537303812487</x:v>
      </x:c>
      <x:c r="P26" s="100" t="n">
        <x:f>P24-P25</x:f>
        <x:v>360.95012983294737</x:v>
      </x:c>
      <x:c r="Q26" s="100" t="n">
        <x:f>Q24-Q25</x:f>
        <x:v>363.4279940391509</x:v>
      </x:c>
      <x:c r="R26" s="100" t="n">
        <x:f>R24-R25</x:f>
        <x:v>359.5149209930496</x:v>
      </x:c>
    </x:row>
    <x:row r="27" ht="23" customHeight="1">
      <x:c r="A27" s="6" t="str">
        <x:v>Change in NWC</x:v>
      </x:c>
      <x:c r="B27" s="124" t="n">
        <x:f>(B13-'Historical'!$G$6)*'Assumptions'!$C$45</x:f>
        <x:v>0.2641876500000035</x:v>
      </x:c>
      <x:c r="C27" s="124" t="n">
        <x:f>(C13-B13)*'Assumptions'!$D$45</x:f>
        <x:v>3.2393902735452778</x:v>
      </x:c>
      <x:c r="D27" s="124" t="n">
        <x:f>(D13-C13)*'Assumptions'!$E$45</x:f>
        <x:v>2.912098541081491</x:v>
      </x:c>
      <x:c r="E27" s="124" t="n">
        <x:f>(E13-D13)*'Assumptions'!$F$45</x:f>
        <x:v>2.799956682257708</x:v>
      </x:c>
      <x:c r="F27" s="124" t="n">
        <x:f>(F13-E13)*'Assumptions'!$G$45</x:f>
        <x:v>2.3145529392957904</x:v>
      </x:c>
      <x:c r="G27" s="4"/>
      <x:c r="H27" s="124" t="n">
        <x:f>(H13-'Historical'!$G$6)*'Assumptions'!$C$63</x:f>
        <x:v>0.3170251800000042</x:v>
      </x:c>
      <x:c r="I27" s="124" t="n">
        <x:f>(I13-H13)*'Assumptions'!$D$63</x:f>
        <x:v>1.0798415302000577</x:v>
      </x:c>
      <x:c r="J27" s="124" t="n">
        <x:f>(J13-I13)*'Assumptions'!$E$63</x:f>
        <x:v>1.6395097500973115</x:v>
      </x:c>
      <x:c r="K27" s="124" t="n">
        <x:f>(K13-J13)*'Assumptions'!$F$63</x:f>
        <x:v>1.8887942821165142</x:v>
      </x:c>
      <x:c r="L27" s="124" t="n">
        <x:f>(L13-K13)*'Assumptions'!$G$63</x:f>
        <x:v>1.972065988745144</x:v>
      </x:c>
      <x:c r="M27" s="4"/>
      <x:c r="N27" s="124" t="n">
        <x:f>(N13-'Historical'!$G$6)*'Assumptions'!$C$81</x:f>
        <x:v>0.23776888500000312</x:v>
      </x:c>
      <x:c r="O27" s="124" t="n">
        <x:f>(O13-N13)*'Assumptions'!$D$81</x:f>
        <x:v>3.6904449065570373</x:v>
      </x:c>
      <x:c r="P27" s="124" t="n">
        <x:f>(P13-O13)*'Assumptions'!$E$81</x:f>
        <x:v>3.761066418529597</x:v>
      </x:c>
      <x:c r="Q27" s="124" t="n">
        <x:f>(Q13-P13)*'Assumptions'!$F$81</x:f>
        <x:v>3.109764907221235</x:v>
      </x:c>
      <x:c r="R27" s="124" t="n">
        <x:f>(R13-Q13)*'Assumptions'!$G$81</x:f>
        <x:v>2.789316701200045</x:v>
      </x:c>
    </x:row>
    <x:row r="28" ht="23" customHeight="1">
      <x:c r="A28" s="6" t="str">
        <x:v>NOPAT</x:v>
      </x:c>
      <x:c r="B28" s="124" t="n">
        <x:f>B20*(1-'Assumptions'!$C$13)</x:f>
        <x:v>1335.4574880982</x:v>
      </x:c>
      <x:c r="C28" s="124" t="n">
        <x:f>C20*(1-'Assumptions'!$C$13)</x:f>
        <x:v>1435.7948533571123</x:v>
      </x:c>
      <x:c r="D28" s="124" t="n">
        <x:f>D20*(1-'Assumptions'!$C$13)</x:f>
        <x:v>1555.9091406436055</x:v>
      </x:c>
      <x:c r="E28" s="124" t="n">
        <x:f>E20*(1-'Assumptions'!$C$13)</x:f>
        <x:v>1670.4591355241978</x:v>
      </x:c>
      <x:c r="F28" s="124" t="n">
        <x:f>F20*(1-'Assumptions'!$C$13)</x:f>
        <x:v>1783.132490279752</x:v>
      </x:c>
      <x:c r="G28" s="4"/>
      <x:c r="H28" s="124" t="n">
        <x:f>H20*(1-'Assumptions'!$C$13)</x:f>
        <x:v>1285.8359470904502</x:v>
      </x:c>
      <x:c r="I28" s="124" t="n">
        <x:f>I20*(1-'Assumptions'!$C$13)</x:f>
        <x:v>1326.6314131309284</x:v>
      </x:c>
      <x:c r="J28" s="124" t="n">
        <x:f>J20*(1-'Assumptions'!$C$13)</x:f>
        <x:v>1394.1937954503233</x:v>
      </x:c>
      <x:c r="K28" s="124" t="n">
        <x:f>K20*(1-'Assumptions'!$C$13)</x:f>
        <x:v>1471.0264805863108</x:v>
      </x:c>
      <x:c r="L28" s="124" t="n">
        <x:f>L20*(1-'Assumptions'!$C$13)</x:f>
        <x:v>1549.6777955113573</x:v>
      </x:c>
      <x:c r="M28" s="4"/>
      <x:c r="N28" s="124" t="n">
        <x:f>N20*(1-'Assumptions'!$C$13)</x:f>
        <x:v>1378.1351381992001</x:v>
      </x:c>
      <x:c r="O28" s="124" t="n">
        <x:f>O20*(1-'Assumptions'!$C$13)</x:f>
        <x:v>1561.7143141599277</x:v>
      </x:c>
      <x:c r="P28" s="124" t="n">
        <x:f>P20*(1-'Assumptions'!$C$13)</x:f>
        <x:v>1751.8091816021386</x:v>
      </x:c>
      <x:c r="Q28" s="124" t="n">
        <x:f>Q20*(1-'Assumptions'!$C$13)</x:f>
        <x:v>1930.3732893756037</x:v>
      </x:c>
      <x:c r="R28" s="124" t="n">
        <x:f>R20*(1-'Assumptions'!$C$13)</x:f>
        <x:v>2094.8061235214386</x:v>
      </x:c>
    </x:row>
    <x:row r="29" ht="23" customHeight="1">
      <x:c r="A29" s="6" t="str">
        <x:v>FCFF</x:v>
      </x:c>
      <x:c r="B29" s="100" t="n">
        <x:f>B28+B23-B24-B27</x:f>
        <x:v>1068.8108248432002</x:v>
      </x:c>
      <x:c r="C29" s="100" t="n">
        <x:f>C28+C23-C24-C27</x:f>
        <x:v>1142.7111471270043</x:v>
      </x:c>
      <x:c r="D29" s="100" t="n">
        <x:f>D28+D23-D24-D27</x:f>
        <x:v>1265.6693980688906</x:v>
      </x:c>
      <x:c r="E29" s="100" t="n">
        <x:f>E28+E23-E24-E27</x:f>
        <x:v>1357.8998061198124</x:v>
      </x:c>
      <x:c r="F29" s="100" t="n">
        <x:f>F28+F23-F24-F27</x:f>
        <x:v>1449.2247054483105</x:v>
      </x:c>
      <x:c r="G29" s="4"/>
      <x:c r="H29" s="100" t="n">
        <x:f>H28+H23-H24-H27</x:f>
        <x:v>1005.1163160104503</x:v>
      </x:c>
      <x:c r="I29" s="100" t="n">
        <x:f>I28+I23-I24-I27</x:f>
        <x:v>992.1161224578948</x:v>
      </x:c>
      <x:c r="J29" s="100" t="n">
        <x:f>J28+J23-J24-J27</x:f>
        <x:v>1068.3352322935418</x:v>
      </x:c>
      <x:c r="K29" s="100" t="n">
        <x:f>K28+K23-K24-K27</x:f>
        <x:v>1152.8577479487926</x:v>
      </x:c>
      <x:c r="L29" s="100" t="n">
        <x:f>L28+L23-L24-L27</x:f>
        <x:v>1240.3929657457409</x:v>
      </x:c>
      <x:c r="M29" s="4"/>
      <x:c r="N29" s="100" t="n">
        <x:f>N28+N23-N24-N27</x:f>
        <x:v>1130.2084007692001</x:v>
      </x:c>
      <x:c r="O29" s="100" t="n">
        <x:f>O28+O23-O24-O27</x:f>
        <x:v>1280.7510208241104</x:v>
      </x:c>
      <x:c r="P29" s="100" t="n">
        <x:f>P28+P23-P24-P27</x:f>
        <x:v>1467.8073311518174</x:v>
      </x:c>
      <x:c r="Q29" s="100" t="n">
        <x:f>Q28+Q23-Q24-Q27</x:f>
        <x:v>1649.0064051973948</x:v>
      </x:c>
      <x:c r="R29" s="100" t="n">
        <x:f>R28+R23-R24-R27</x:f>
        <x:v>1821.2200585830058</x:v>
      </x:c>
    </x:row>
    <x:row r="30" ht="23" customHeight="1">
      <x:c r="A30" s="6" t="str">
        <x:v>EBITDA</x:v>
      </x:c>
      <x:c r="B30" s="100" t="n">
        <x:f>B20+B23</x:f>
        <x:v>1914.7746012999999</x:v>
      </x:c>
      <x:c r="C30" s="100" t="n">
        <x:f>C20+C23</x:f>
        <x:v>2052.33568193321</x:v>
      </x:c>
      <x:c r="D30" s="100" t="n">
        <x:f>D20+D23</x:f>
        <x:v>2214.2658269793</x:v>
      </x:c>
      <x:c r="E30" s="100" t="n">
        <x:f>E20+E23</x:f>
        <x:v>2367.9447216134063</x:v>
      </x:c>
      <x:c r="F30" s="100" t="n">
        <x:f>F20+F23</x:f>
        <x:v>2517.6672738751604</x:v>
      </x:c>
      <x:c r="G30" s="4"/>
      <x:c r="H30" s="100" t="n">
        <x:f>H20+H23</x:f>
        <x:v>1861.3092776050003</x:v>
      </x:c>
      <x:c r="I30" s="100" t="n">
        <x:f>I20+I23</x:f>
        <x:v>1917.4484477451522</x:v>
      </x:c>
      <x:c r="J30" s="100" t="n">
        <x:f>J20+J23</x:f>
        <x:v>2005.5103578268906</x:v>
      </x:c>
      <x:c r="K30" s="100" t="n">
        <x:f>K20+K23</x:f>
        <x:v>2106.920723944224</x:v>
      </x:c>
      <x:c r="L30" s="100" t="n">
        <x:f>L20+L23</x:f>
        <x:v>2210.6467712504136</x:v>
      </x:c>
      <x:c r="M30" s="4"/>
      <x:c r="N30" s="100" t="n">
        <x:f>N20+N23</x:f>
        <x:v>1964.123566435</x:v>
      </x:c>
      <x:c r="O30" s="100" t="n">
        <x:f>O20+O23</x:f>
        <x:v>2213.048951630459</x:v>
      </x:c>
      <x:c r="P30" s="100" t="n">
        <x:f>P20+P23</x:f>
        <x:v>2469.69668234018</x:v>
      </x:c>
      <x:c r="Q30" s="100" t="n">
        <x:f>Q20+Q23</x:f>
        <x:v>2709.669476531021</x:v>
      </x:c>
      <x:c r="R30" s="100" t="n">
        <x:f>R20+R23</x:f>
        <x:v>2928.8976107751414</x:v>
      </x:c>
    </x:row>
    <x:row r="31" ht="23" customHeight="1">
      <x:c r="A31" s="6" t="str">
        <x:v>Discount period (ACT/365 years)</x:v>
      </x:c>
      <x:c r="B31" s="139" t="n">
        <x:f>MAX(0,(B7-'Assumptions'!$C$5)/365)</x:f>
        <x:v>0</x:v>
      </x:c>
      <x:c r="C31" s="139" t="n">
        <x:f>MAX(0,(C7-'Assumptions'!$C$5)/365)</x:f>
        <x:v>0.9863013698630136</x:v>
      </x:c>
      <x:c r="D31" s="139" t="n">
        <x:f>MAX(0,(D7-'Assumptions'!$C$5)/365)</x:f>
        <x:v>1.989041095890411</x:v>
      </x:c>
      <x:c r="E31" s="139" t="n">
        <x:f>MAX(0,(E7-'Assumptions'!$C$5)/365)</x:f>
        <x:v>2.989041095890411</x:v>
      </x:c>
      <x:c r="F31" s="139" t="n">
        <x:f>MAX(0,(F7-'Assumptions'!$C$5)/365)</x:f>
        <x:v>3.989041095890411</x:v>
      </x:c>
      <x:c r="G31" s="4"/>
      <x:c r="H31" s="139" t="n">
        <x:f>MAX(0,(H7-'Assumptions'!$C$5)/365)</x:f>
        <x:v>0</x:v>
      </x:c>
      <x:c r="I31" s="139" t="n">
        <x:f>MAX(0,(I7-'Assumptions'!$C$5)/365)</x:f>
        <x:v>0.9863013698630136</x:v>
      </x:c>
      <x:c r="J31" s="139" t="n">
        <x:f>MAX(0,(J7-'Assumptions'!$C$5)/365)</x:f>
        <x:v>1.989041095890411</x:v>
      </x:c>
      <x:c r="K31" s="139" t="n">
        <x:f>MAX(0,(K7-'Assumptions'!$C$5)/365)</x:f>
        <x:v>2.989041095890411</x:v>
      </x:c>
      <x:c r="L31" s="139" t="n">
        <x:f>MAX(0,(L7-'Assumptions'!$C$5)/365)</x:f>
        <x:v>3.989041095890411</x:v>
      </x:c>
      <x:c r="M31" s="4"/>
      <x:c r="N31" s="139" t="n">
        <x:f>MAX(0,(N7-'Assumptions'!$C$5)/365)</x:f>
        <x:v>0</x:v>
      </x:c>
      <x:c r="O31" s="139" t="n">
        <x:f>MAX(0,(O7-'Assumptions'!$C$5)/365)</x:f>
        <x:v>0.9863013698630136</x:v>
      </x:c>
      <x:c r="P31" s="139" t="n">
        <x:f>MAX(0,(P7-'Assumptions'!$C$5)/365)</x:f>
        <x:v>1.989041095890411</x:v>
      </x:c>
      <x:c r="Q31" s="139" t="n">
        <x:f>MAX(0,(Q7-'Assumptions'!$C$5)/365)</x:f>
        <x:v>2.989041095890411</x:v>
      </x:c>
      <x:c r="R31" s="139" t="n">
        <x:f>MAX(0,(R7-'Assumptions'!$C$5)/365)</x:f>
        <x:v>3.989041095890411</x:v>
      </x:c>
    </x:row>
    <x:row r="32" ht="28" customHeight="1">
      <x:c r="A32" s="7" t="str">
        <x:v>PV of future FCFF (FY2026 baseline excluded)</x:v>
      </x:c>
      <x:c r="B32" s="124" t="n">
        <x:f>B29/(1+'WACC'!$C$20)^B31*B33</x:f>
        <x:v>0</x:v>
      </x:c>
      <x:c r="C32" s="124" t="n">
        <x:f>C29/(1+'WACC'!$C$20)^C31*C33</x:f>
        <x:v>1032.1849737736234</x:v>
      </x:c>
      <x:c r="D32" s="124" t="n">
        <x:f>D29/(1+'WACC'!$C$20)^D31*D33</x:f>
        <x:v>1060.0019591427335</x:v>
      </x:c>
      <x:c r="E32" s="124" t="n">
        <x:f>E29/(1+'WACC'!$C$20)^E31*E33</x:f>
        <x:v>1040.2438335773702</x:v>
      </x:c>
      <x:c r="F32" s="124" t="n">
        <x:f>F29/(1+'WACC'!$C$20)^F31*F33</x:f>
        <x:v>1015.5099620725915</x:v>
      </x:c>
      <x:c r="G32" s="4"/>
      <x:c r="H32" s="124" t="n">
        <x:f>H29/(1+'WACC'!$C$20)^H31*H33</x:f>
        <x:v>0</x:v>
      </x:c>
      <x:c r="I32" s="124" t="n">
        <x:f>I29/(1+'WACC'!$C$20)^I31*I33</x:f>
        <x:v>896.1559151796524</x:v>
      </x:c>
      <x:c r="J32" s="124" t="n">
        <x:f>J29/(1+'WACC'!$C$20)^J31*J33</x:f>
        <x:v>894.7339968716879</x:v>
      </x:c>
      <x:c r="K32" s="124" t="n">
        <x:f>K29/(1+'WACC'!$C$20)^K31*K33</x:f>
        <x:v>883.1676371782405</x:v>
      </x:c>
      <x:c r="L32" s="124" t="n">
        <x:f>L29/(1+'WACC'!$C$20)^L31*L33</x:f>
        <x:v>869.1760559035639</x:v>
      </x:c>
      <x:c r="M32" s="4"/>
      <x:c r="N32" s="124" t="n">
        <x:f>N29/(1+'WACC'!$C$20)^N31*N33</x:f>
        <x:v>0</x:v>
      </x:c>
      <x:c r="O32" s="124" t="n">
        <x:f>O29/(1+'WACC'!$C$20)^O31*O33</x:f>
        <x:v>1156.8732502203795</x:v>
      </x:c>
      <x:c r="P32" s="124" t="n">
        <x:f>P29/(1+'WACC'!$C$20)^P31*P33</x:f>
        <x:v>1229.2930911017468</x:v>
      </x:c>
      <x:c r="Q32" s="124" t="n">
        <x:f>Q29/(1+'WACC'!$C$20)^Q31*Q33</x:f>
        <x:v>1263.2513362217999</x:v>
      </x:c>
      <x:c r="R32" s="124" t="n">
        <x:f>R29/(1+'WACC'!$C$20)^R31*R33</x:f>
        <x:v>1276.1769142248702</x:v>
      </x:c>
    </x:row>
    <x:row r="33" ht="23" customHeight="1">
      <x:c r="A33" s="6" t="str">
        <x:v>Remaining share of annual FCFF</x:v>
      </x:c>
      <x:c r="B33" s="137" t="n">
        <x:f>0</x:f>
        <x:v>0</x:v>
      </x:c>
      <x:c r="C33" s="129" t="n">
        <x:f>MAX(0,MIN(1,(C7-'Assumptions'!$C$5)/(C7-DATE(VALUE(MID(C$5,3,4))-1,7,31))))</x:f>
        <x:v>0.9863013773148148</x:v>
      </x:c>
      <x:c r="D33" s="137" t="n">
        <x:f>1</x:f>
        <x:v>1</x:v>
      </x:c>
      <x:c r="E33" s="137" t="n">
        <x:f>1</x:f>
        <x:v>1</x:v>
      </x:c>
      <x:c r="F33" s="137" t="n">
        <x:f>1</x:f>
        <x:v>1</x:v>
      </x:c>
      <x:c r="G33" s="4"/>
      <x:c r="H33" s="137" t="n">
        <x:f>0</x:f>
        <x:v>0</x:v>
      </x:c>
      <x:c r="I33" s="129" t="n">
        <x:f>MAX(0,MIN(1,(I7-'Assumptions'!$C$5)/(I7-DATE(VALUE(MID(I$5,3,4))-1,7,31))))</x:f>
        <x:v>0.9863013773148148</x:v>
      </x:c>
      <x:c r="J33" s="137" t="n">
        <x:f>1</x:f>
        <x:v>1</x:v>
      </x:c>
      <x:c r="K33" s="137" t="n">
        <x:f>1</x:f>
        <x:v>1</x:v>
      </x:c>
      <x:c r="L33" s="137" t="n">
        <x:f>1</x:f>
        <x:v>1</x:v>
      </x:c>
      <x:c r="M33" s="4"/>
      <x:c r="N33" s="137" t="n">
        <x:f>0</x:f>
        <x:v>0</x:v>
      </x:c>
      <x:c r="O33" s="129" t="n">
        <x:f>MAX(0,MIN(1,(O7-'Assumptions'!$C$5)/(O7-DATE(VALUE(MID(O$5,3,4))-1,7,31))))</x:f>
        <x:v>0.9863013773148148</x:v>
      </x:c>
      <x:c r="P33" s="137" t="n">
        <x:f>1</x:f>
        <x:v>1</x:v>
      </x:c>
      <x:c r="Q33" s="137" t="n">
        <x:f>1</x:f>
        <x:v>1</x:v>
      </x:c>
      <x:c r="R33" s="137" t="n">
        <x:f>1</x:f>
        <x:v>1</x:v>
      </x:c>
    </x:row>
    <x:row r="34" ht="23" customHeight="1">
      <x:c r="A34" s="6" t="str">
        <x:v>Perpetual growth</x:v>
      </x:c>
      <x:c r="B34" s="129" t="n">
        <x:f>'Assumptions'!C14</x:f>
        <x:v>0.0275</x:v>
      </x:c>
      <x:c r="C34" s="4"/>
      <x:c r="D34" s="4"/>
      <x:c r="E34" s="4"/>
      <x:c r="F34" s="4"/>
      <x:c r="G34" s="4"/>
      <x:c r="H34" s="91" t="n">
        <x:v>0.0225</x:v>
      </x:c>
      <x:c r="I34" s="4"/>
      <x:c r="J34" s="4"/>
      <x:c r="K34" s="4"/>
      <x:c r="L34" s="4"/>
      <x:c r="M34" s="4"/>
      <x:c r="N34" s="91" t="n">
        <x:v>0.03</x:v>
      </x:c>
      <x:c r="O34" s="4"/>
      <x:c r="P34" s="4"/>
      <x:c r="Q34" s="4"/>
      <x:c r="R34" s="4"/>
    </x:row>
    <x:row r="35" ht="23" customHeight="1">
      <x:c r="A35" s="6" t="str">
        <x:v>Terminal value</x:v>
      </x:c>
      <x:c r="B35" s="124" t="n">
        <x:f>IF('WACC'!$C$20&gt;B34,B43/('WACC'!$C$20-B34),"INPUT REQUIRED: WACC must exceed growth")</x:f>
        <x:v>22664.39012475075</x:v>
      </x:c>
      <x:c r="C35" s="4"/>
      <x:c r="D35" s="4"/>
      <x:c r="E35" s="4"/>
      <x:c r="F35" s="4"/>
      <x:c r="G35" s="4"/>
      <x:c r="H35" s="124" t="n">
        <x:f>IF('WACC'!$C$20&gt;H34,H43/('WACC'!$C$20-H34),"INPUT REQUIRED: WACC must exceed growth")</x:f>
        <x:v>17938.510676272486</x:v>
      </x:c>
      <x:c r="I35" s="4"/>
      <x:c r="J35" s="4"/>
      <x:c r="K35" s="4"/>
      <x:c r="L35" s="4"/>
      <x:c r="M35" s="4"/>
      <x:c r="N35" s="124" t="n">
        <x:f>IF('WACC'!$C$20&gt;N34,N43/('WACC'!$C$20-N34),"INPUT REQUIRED: WACC must exceed growth")</x:f>
        <x:v>29682.444829328826</x:v>
      </x:c>
      <x:c r="O35" s="4"/>
      <x:c r="P35" s="4"/>
      <x:c r="Q35" s="4"/>
      <x:c r="R35" s="4"/>
    </x:row>
    <x:row r="36" ht="23" customHeight="1">
      <x:c r="A36" s="6" t="str">
        <x:v>PV of terminal value</x:v>
      </x:c>
      <x:c r="B36" s="124" t="n">
        <x:f>B35/(1+'WACC'!$C$20)^F31</x:f>
        <x:v>15881.535740769885</x:v>
      </x:c>
      <x:c r="C36" s="4"/>
      <x:c r="D36" s="4"/>
      <x:c r="E36" s="4"/>
      <x:c r="F36" s="4"/>
      <x:c r="G36" s="4"/>
      <x:c r="H36" s="124" t="n">
        <x:f>H35/(1+'WACC'!$C$20)^L31</x:f>
        <x:v>12569.987406380154</x:v>
      </x:c>
      <x:c r="I36" s="4"/>
      <x:c r="J36" s="4"/>
      <x:c r="K36" s="4"/>
      <x:c r="L36" s="4"/>
      <x:c r="M36" s="4"/>
      <x:c r="N36" s="124" t="n">
        <x:f>N35/(1+'WACC'!$C$20)^R31</x:f>
        <x:v>20799.2717137188</x:v>
      </x:c>
      <x:c r="O36" s="4"/>
      <x:c r="P36" s="4"/>
      <x:c r="Q36" s="4"/>
      <x:c r="R36" s="4"/>
    </x:row>
    <x:row r="37" ht="23" customHeight="1">
      <x:c r="A37" s="6" t="str">
        <x:v>Enterprise value</x:v>
      </x:c>
      <x:c r="B37" s="100" t="n">
        <x:f>SUM(B32:F32)+B36</x:f>
        <x:v>20029.4764693362</x:v>
      </x:c>
      <x:c r="C37" s="4"/>
      <x:c r="D37" s="4"/>
      <x:c r="E37" s="4"/>
      <x:c r="F37" s="4"/>
      <x:c r="G37" s="4"/>
      <x:c r="H37" s="100" t="n">
        <x:f>SUM(H32:L32)+H36</x:f>
        <x:v>16113.221011513298</x:v>
      </x:c>
      <x:c r="I37" s="4"/>
      <x:c r="J37" s="4"/>
      <x:c r="K37" s="4"/>
      <x:c r="L37" s="4"/>
      <x:c r="M37" s="4"/>
      <x:c r="N37" s="100" t="n">
        <x:f>SUM(N32:R32)+N36</x:f>
        <x:v>25724.866305487598</x:v>
      </x:c>
      <x:c r="O37" s="4"/>
      <x:c r="P37" s="4"/>
      <x:c r="Q37" s="4"/>
      <x:c r="R37" s="4"/>
    </x:row>
    <x:row r="38" ht="23" customHeight="1">
      <x:c r="A38" s="6" t="str">
        <x:v>Excess cash after reserve</x:v>
      </x:c>
      <x:c r="B38" s="124" t="n">
        <x:f>'Assumptions'!$C$7-(B13*'Assumptions'!$C$8)</x:f>
        <x:v>2812.1574852500003</x:v>
      </x:c>
      <x:c r="C38" s="4"/>
      <x:c r="D38" s="4"/>
      <x:c r="E38" s="4"/>
      <x:c r="F38" s="4"/>
      <x:c r="G38" s="4"/>
      <x:c r="H38" s="124" t="n">
        <x:f>'Assumptions'!$C$7-(H13*'Assumptions'!$C$8)</x:f>
        <x:v>2812.1574852500003</x:v>
      </x:c>
      <x:c r="I38" s="4"/>
      <x:c r="J38" s="4"/>
      <x:c r="K38" s="4"/>
      <x:c r="L38" s="4"/>
      <x:c r="M38" s="4"/>
      <x:c r="N38" s="124" t="n">
        <x:f>'Assumptions'!$C$7-(N13*'Assumptions'!$C$8)</x:f>
        <x:v>2812.1574852500003</x:v>
      </x:c>
      <x:c r="O38" s="4"/>
      <x:c r="P38" s="4"/>
      <x:c r="Q38" s="4"/>
      <x:c r="R38" s="4"/>
    </x:row>
    <x:row r="39" ht="23" customHeight="1">
      <x:c r="A39" s="6" t="str">
        <x:v>Equity value</x:v>
      </x:c>
      <x:c r="B39" s="124" t="n">
        <x:f>B37+B38-'Assumptions'!$C$9-'Assumptions'!$G$14-'Assumptions'!$G$15</x:f>
        <x:v>22821.758954586203</x:v>
      </x:c>
      <x:c r="C39" s="4"/>
      <x:c r="D39" s="4"/>
      <x:c r="E39" s="4"/>
      <x:c r="F39" s="4"/>
      <x:c r="G39" s="4"/>
      <x:c r="H39" s="124" t="n">
        <x:f>H37+H38-'Assumptions'!$C$9-'Assumptions'!$G$14-'Assumptions'!$G$15</x:f>
        <x:v>18905.5034967633</x:v>
      </x:c>
      <x:c r="I39" s="4"/>
      <x:c r="J39" s="4"/>
      <x:c r="K39" s="4"/>
      <x:c r="L39" s="4"/>
      <x:c r="M39" s="4"/>
      <x:c r="N39" s="124" t="n">
        <x:f>N37+N38-'Assumptions'!$C$9-'Assumptions'!$G$14-'Assumptions'!$G$15</x:f>
        <x:v>28517.1487907376</x:v>
      </x:c>
      <x:c r="O39" s="4"/>
      <x:c r="P39" s="4"/>
      <x:c r="Q39" s="4"/>
      <x:c r="R39" s="4"/>
    </x:row>
    <x:row r="40" ht="23" customHeight="1">
      <x:c r="A40" s="6" t="str">
        <x:v>Diluted shares</x:v>
      </x:c>
      <x:c r="B40" s="124" t="n">
        <x:f>'Assumptions'!$C$12</x:f>
        <x:v>932.2884819999999</x:v>
      </x:c>
      <x:c r="C40" s="4"/>
      <x:c r="D40" s="4"/>
      <x:c r="E40" s="4"/>
      <x:c r="F40" s="4"/>
      <x:c r="G40" s="4"/>
      <x:c r="H40" s="124" t="n">
        <x:f>'Assumptions'!$C$12</x:f>
        <x:v>932.2884819999999</x:v>
      </x:c>
      <x:c r="I40" s="4"/>
      <x:c r="J40" s="4"/>
      <x:c r="K40" s="4"/>
      <x:c r="L40" s="4"/>
      <x:c r="M40" s="4"/>
      <x:c r="N40" s="124" t="n">
        <x:f>'Assumptions'!$C$12</x:f>
        <x:v>932.2884819999999</x:v>
      </x:c>
      <x:c r="O40" s="4"/>
      <x:c r="P40" s="4"/>
      <x:c r="Q40" s="4"/>
      <x:c r="R40" s="4"/>
    </x:row>
    <x:row r="41" ht="23" customHeight="1">
      <x:c r="A41" s="6" t="str">
        <x:v>Implied value / share</x:v>
      </x:c>
      <x:c r="B41" s="141" t="n">
        <x:f>B39/B40</x:f>
        <x:v>24.479288755801882</x:v>
      </x:c>
      <x:c r="C41" s="4"/>
      <x:c r="D41" s="4"/>
      <x:c r="E41" s="4"/>
      <x:c r="F41" s="4"/>
      <x:c r="G41" s="4"/>
      <x:c r="H41" s="141" t="n">
        <x:f>H39/H40</x:f>
        <x:v>20.278598161167995</x:v>
      </x:c>
      <x:c r="I41" s="4"/>
      <x:c r="J41" s="4"/>
      <x:c r="K41" s="4"/>
      <x:c r="L41" s="4"/>
      <x:c r="M41" s="4"/>
      <x:c r="N41" s="141" t="n">
        <x:f>N39/N40</x:f>
        <x:v>30.588331124247013</x:v>
      </x:c>
      <x:c r="O41" s="4"/>
      <x:c r="P41" s="4"/>
      <x:c r="Q41" s="4"/>
      <x:c r="R41" s="4"/>
    </x:row>
    <x:row r="42" ht="23" customHeight="1">
      <x:c r="A42" s="6" t="str">
        <x:v>Upside / (downside) vs price</x:v>
      </x:c>
      <x:c r="B42" s="143" t="n">
        <x:f>B41/'Assumptions'!$C$11-1</x:f>
        <x:v>-0.1532587770390217</x:v>
      </x:c>
      <x:c r="C42" s="4"/>
      <x:c r="D42" s="4"/>
      <x:c r="E42" s="4"/>
      <x:c r="F42" s="4"/>
      <x:c r="G42" s="4"/>
      <x:c r="H42" s="143" t="n">
        <x:f>H41/'Assumptions'!$C$11-1</x:f>
        <x:v>-0.298561115144656</x:v>
      </x:c>
      <x:c r="I42" s="4"/>
      <x:c r="J42" s="4"/>
      <x:c r="K42" s="4"/>
      <x:c r="L42" s="4"/>
      <x:c r="M42" s="4"/>
      <x:c r="N42" s="143" t="n">
        <x:f>N41/'Assumptions'!$C$11-1</x:f>
        <x:v>0.05805365355403014</x:v>
      </x:c>
      <x:c r="O42" s="4"/>
      <x:c r="P42" s="4"/>
      <x:c r="Q42" s="4"/>
      <x:c r="R42" s="4"/>
    </x:row>
    <x:row r="43" ht="23" customHeight="1">
      <x:c r="A43" s="6" t="str">
        <x:v>First terminal-year FCFF</x:v>
      </x:c>
      <x:c r="B43" s="124" t="n">
        <x:f>(F28+F23-F24)*(1+B34)-F13*B34*'Assumptions'!$G$45</x:f>
        <x:v>1490.1539002965462</x:v>
      </x:c>
      <x:c r="C43" s="4"/>
      <x:c r="D43" s="4"/>
      <x:c r="E43" s="4"/>
      <x:c r="F43" s="4"/>
      <x:c r="G43" s="4"/>
      <x:c r="H43" s="124" t="n">
        <x:f>(L28+L23-L24)*(1+H34)-L13*H34*'Assumptions'!$G$63</x:f>
        <x:v>1269.1260833648946</x:v>
      </x:c>
      <x:c r="I43" s="4"/>
      <x:c r="J43" s="4"/>
      <x:c r="K43" s="4"/>
      <x:c r="L43" s="4"/>
      <x:c r="M43" s="4"/>
      <x:c r="N43" s="124" t="n">
        <x:f>(R28+R23-R24)*(1+N34)-R13*N34*'Assumptions'!$G$81</x:f>
        <x:v>1877.375672801546</x:v>
      </x:c>
      <x:c r="O43" s="4"/>
      <x:c r="P43" s="4"/>
      <x:c r="Q43" s="4"/>
      <x:c r="R43" s="4"/>
    </x:row>
    <x:row r="44" ht="23" customHeight="1">
      <x:c r="A44" s="4"/>
      <x:c r="B44" s="4"/>
      <x:c r="C44" s="4"/>
      <x:c r="D44" s="4"/>
      <x:c r="E44" s="4"/>
      <x:c r="F44" s="4"/>
      <x:c r="G44" s="4"/>
      <x:c r="H44" s="4"/>
      <x:c r="I44" s="4"/>
      <x:c r="J44" s="4"/>
      <x:c r="K44" s="4"/>
      <x:c r="L44" s="4"/>
      <x:c r="M44" s="4"/>
      <x:c r="N44" s="4"/>
      <x:c r="O44" s="4"/>
      <x:c r="P44" s="4"/>
      <x:c r="Q44" s="4"/>
      <x:c r="R44" s="4"/>
    </x:row>
    <x:row r="45" ht="25" customHeight="1">
      <x:c r="A45" s="60" t="str">
        <x:v>Scenario Summary</x:v>
      </x:c>
      <x:c r="B45" s="61"/>
      <x:c r="C45" s="61"/>
      <x:c r="D45" s="61"/>
      <x:c r="E45" s="61"/>
      <x:c r="F45" s="61"/>
      <x:c r="G45" s="61"/>
      <x:c r="H45" s="61"/>
      <x:c r="I45" s="61"/>
      <x:c r="J45" s="61"/>
      <x:c r="K45" s="61"/>
      <x:c r="L45" s="61"/>
      <x:c r="M45" s="61"/>
      <x:c r="N45" s="61"/>
      <x:c r="O45" s="61"/>
      <x:c r="P45" s="61"/>
      <x:c r="Q45" s="61"/>
      <x:c r="R45" s="61"/>
    </x:row>
    <x:row r="46" ht="34" customHeight="1">
      <x:c r="A46" s="6" t="str">
        <x:v>Case</x:v>
      </x:c>
      <x:c r="B46" s="34" t="str">
        <x:v>FY2030E Revenue</x:v>
      </x:c>
      <x:c r="C46" s="34" t="str">
        <x:v>FY2030E EBIT Margin</x:v>
      </x:c>
      <x:c r="D46" s="34" t="str">
        <x:v>Value / Share</x:v>
      </x:c>
      <x:c r="E46" s="36"/>
      <x:c r="F46" s="36"/>
      <x:c r="G46" s="36"/>
      <x:c r="H46" s="36"/>
      <x:c r="I46" s="36"/>
      <x:c r="J46" s="36"/>
      <x:c r="K46" s="36"/>
      <x:c r="L46" s="36"/>
      <x:c r="M46" s="36"/>
      <x:c r="N46" s="36"/>
      <x:c r="O46" s="36"/>
      <x:c r="P46" s="36"/>
      <x:c r="Q46" s="36"/>
      <x:c r="R46" s="36"/>
    </x:row>
    <x:row r="47" ht="23" customHeight="1">
      <x:c r="A47" s="6" t="str">
        <x:v>Base</x:v>
      </x:c>
      <x:c r="B47" s="100" t="n">
        <x:f>F13</x:f>
        <x:v>5921.307712359746</x:v>
      </x:c>
      <x:c r="C47" s="137" t="n">
        <x:f>F21</x:f>
        <x:v>0.38118771125843504</x:v>
      </x:c>
      <x:c r="D47" s="141" t="n">
        <x:f>B41</x:f>
        <x:v>24.479288755801882</x:v>
      </x:c>
      <x:c r="E47" s="4"/>
      <x:c r="F47" s="4"/>
      <x:c r="G47" s="4"/>
      <x:c r="H47" s="4"/>
      <x:c r="I47" s="4"/>
      <x:c r="J47" s="4"/>
      <x:c r="K47" s="4"/>
      <x:c r="L47" s="4"/>
      <x:c r="M47" s="4"/>
      <x:c r="N47" s="4"/>
      <x:c r="O47" s="4"/>
      <x:c r="P47" s="4"/>
      <x:c r="Q47" s="4"/>
      <x:c r="R47" s="4"/>
    </x:row>
    <x:row r="48" ht="23" customHeight="1">
      <x:c r="A48" s="6" t="str">
        <x:v>Downside</x:v>
      </x:c>
      <x:c r="B48" s="100" t="n">
        <x:f>L13</x:f>
        <x:v>5298.495927187441</x:v>
      </x:c>
      <x:c r="C48" s="137" t="n">
        <x:f>L21</x:f>
        <x:v>0.3702215665783995</x:v>
      </x:c>
      <x:c r="D48" s="141" t="n">
        <x:f>H41</x:f>
        <x:v>20.278598161167995</x:v>
      </x:c>
      <x:c r="E48" s="4"/>
      <x:c r="F48" s="4"/>
      <x:c r="G48" s="4"/>
      <x:c r="H48" s="4"/>
      <x:c r="I48" s="4"/>
      <x:c r="J48" s="4"/>
      <x:c r="K48" s="4"/>
      <x:c r="L48" s="4"/>
      <x:c r="M48" s="4"/>
      <x:c r="N48" s="4"/>
      <x:c r="O48" s="4"/>
      <x:c r="P48" s="4"/>
      <x:c r="Q48" s="4"/>
      <x:c r="R48" s="4"/>
    </x:row>
    <x:row r="49" ht="23" customHeight="1">
      <x:c r="A49" s="6" t="str">
        <x:v>Upside</x:v>
      </x:c>
      <x:c r="B49" s="100" t="n">
        <x:f>R13</x:f>
        <x:v>6447.541624696012</x:v>
      </x:c>
      <x:c r="C49" s="137" t="n">
        <x:f>R21</x:f>
        <x:v>0.41126579326864493</x:v>
      </x:c>
      <x:c r="D49" s="141" t="n">
        <x:f>N41</x:f>
        <x:v>30.588331124247013</x:v>
      </x:c>
      <x:c r="E49" s="4"/>
      <x:c r="F49" s="4"/>
      <x:c r="G49" s="4"/>
      <x:c r="H49" s="4"/>
      <x:c r="I49" s="4"/>
      <x:c r="J49" s="4"/>
      <x:c r="K49" s="4"/>
      <x:c r="L49" s="4"/>
      <x:c r="M49" s="4"/>
      <x:c r="N49" s="4"/>
      <x:c r="O49" s="4"/>
      <x:c r="P49" s="4"/>
      <x:c r="Q49" s="4"/>
      <x:c r="R49" s="4"/>
    </x:row>
    <x:row r="50" ht="23" customHeight="1">
      <x:c r="A50" s="4"/>
      <x:c r="B50" s="4"/>
      <x:c r="C50" s="4"/>
      <x:c r="D50" s="4"/>
      <x:c r="E50" s="4"/>
      <x:c r="F50" s="4"/>
      <x:c r="G50" s="4"/>
      <x:c r="H50" s="4"/>
      <x:c r="I50" s="4"/>
      <x:c r="J50" s="4"/>
      <x:c r="K50" s="4"/>
      <x:c r="L50" s="4"/>
      <x:c r="M50" s="4"/>
      <x:c r="N50" s="4"/>
      <x:c r="O50" s="4"/>
      <x:c r="P50" s="4"/>
      <x:c r="Q50" s="4"/>
      <x:c r="R50" s="4"/>
    </x:row>
    <x:row r="51" ht="23" customHeight="1">
      <x:c r="A51" s="4"/>
      <x:c r="B51" s="4"/>
      <x:c r="C51" s="4"/>
      <x:c r="D51" s="4"/>
      <x:c r="E51" s="4"/>
      <x:c r="F51" s="4"/>
      <x:c r="G51" s="4"/>
      <x:c r="H51" s="4"/>
      <x:c r="I51" s="4"/>
      <x:c r="J51" s="4"/>
      <x:c r="K51" s="4"/>
      <x:c r="L51" s="4"/>
      <x:c r="M51" s="4"/>
      <x:c r="N51" s="4"/>
      <x:c r="O51" s="4"/>
      <x:c r="P51" s="4"/>
      <x:c r="Q51" s="4"/>
      <x:c r="R51" s="4"/>
    </x:row>
    <x:row r="52" ht="23" customHeight="1">
      <x:c r="A52" s="4"/>
      <x:c r="B52" s="4"/>
      <x:c r="C52" s="4"/>
      <x:c r="D52" s="4"/>
      <x:c r="E52" s="4"/>
      <x:c r="F52" s="4"/>
      <x:c r="G52" s="4"/>
      <x:c r="H52" s="4"/>
      <x:c r="I52" s="4"/>
      <x:c r="J52" s="4"/>
      <x:c r="K52" s="4"/>
      <x:c r="L52" s="4"/>
      <x:c r="M52" s="4"/>
      <x:c r="N52" s="4"/>
      <x:c r="O52" s="4"/>
      <x:c r="P52" s="4"/>
      <x:c r="Q52" s="4"/>
      <x:c r="R52" s="4"/>
    </x:row>
  </x:sheetData>
  <x:pageMargins left="0.7" right="0.7" top="0.75" bottom="0.75" header="0.3" footer="0.3"/>
</x:worksheet>
</file>

<file path=xl/worksheets/sheet8.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4" hidden="0" customWidth="1"/>
    <x:col min="4" max="4" width="46" hidden="0" customWidth="1"/>
    <x:col min="5" max="5" width="76" hidden="0" customWidth="1"/>
    <x:col min="6" max="6" width="14" hidden="0" customWidth="1"/>
    <x:col min="7" max="7" width="14" hidden="0" customWidth="1"/>
  </x:cols>
  <x:sheetData>
    <x:row r="1" ht="31" customHeight="1">
      <x:c r="A1" s="6"/>
      <x:c r="B1" s="19" t="str">
        <x:v>Weighted Average Cost of Capital</x:v>
      </x:c>
      <x:c r="C1" s="19"/>
      <x:c r="D1" s="19"/>
      <x:c r="E1" s="19"/>
      <x:c r="F1" s="19"/>
      <x:c r="G1" s="19"/>
    </x:row>
    <x:row r="2" ht="34" customHeight="1">
      <x:c r="A2" s="7"/>
      <x:c r="B2" s="23" t="str">
        <x:v>Funded borrowing is zero. A small finance-lease estimate enters debt weight and the equity bridge.</x:v>
      </x:c>
      <x:c r="C2" s="23"/>
      <x:c r="D2" s="23"/>
      <x:c r="E2" s="23"/>
      <x:c r="F2" s="23"/>
      <x:c r="G2" s="23"/>
    </x:row>
    <x:row r="3" ht="23" customHeight="1">
      <x:c r="A3" s="4"/>
      <x:c r="B3" s="4"/>
      <x:c r="C3" s="4"/>
      <x:c r="D3" s="4"/>
      <x:c r="E3" s="4"/>
      <x:c r="F3" s="4"/>
      <x:c r="G3" s="4"/>
    </x:row>
    <x:row r="4" ht="25" customHeight="1">
      <x:c r="A4" s="4"/>
      <x:c r="B4" s="60" t="str">
        <x:v>Cost of Capital Inputs</x:v>
      </x:c>
      <x:c r="C4" s="61"/>
      <x:c r="D4" s="61"/>
      <x:c r="E4" s="61"/>
      <x:c r="F4" s="4"/>
      <x:c r="G4" s="4"/>
    </x:row>
    <x:row r="5" ht="34" customHeight="1">
      <x:c r="A5" s="4"/>
      <x:c r="B5" s="34" t="str">
        <x:v>Input</x:v>
      </x:c>
      <x:c r="C5" s="34" t="str">
        <x:v>Value</x:v>
      </x:c>
      <x:c r="D5" s="34" t="str">
        <x:v>Source / formula</x:v>
      </x:c>
      <x:c r="E5" s="34" t="str">
        <x:v>Notes</x:v>
      </x:c>
      <x:c r="F5" s="36"/>
      <x:c r="G5" s="36"/>
    </x:row>
    <x:row r="6" ht="28" customHeight="1">
      <x:c r="A6" s="4"/>
      <x:c r="B6" s="7" t="str">
        <x:v>Risk-free rate</x:v>
      </x:c>
      <x:c r="C6" s="183" t="n">
        <x:v>0.0463</x:v>
      </x:c>
      <x:c r="D6" s="7" t="str">
        <x:v>U.S. Treasury 10-year CMT</x:v>
      </x:c>
      <x:c r="E6" s="7" t="str">
        <x:v>5 Aug 2026 official daily par-yield curve</x:v>
      </x:c>
      <x:c r="F6" s="4"/>
      <x:c r="G6" s="4"/>
    </x:row>
    <x:row r="7" ht="57" customHeight="1">
      <x:c r="A7" s="4"/>
      <x:c r="B7" s="7" t="str">
        <x:v>Company beta assumption</x:v>
      </x:c>
      <x:c r="C7" s="187" t="n">
        <x:v>1.11</x:v>
      </x:c>
      <x:c r="D7" s="7" t="str">
        <x:v>Retained analyst beta risk estimate</x:v>
      </x:c>
      <x:c r="E7" s="7" t="str">
        <x:v>A beta of 1.11 is an analyst risk assumption. Insurer contracts support recurring demand; salvage prices, fees and international expansion add market exposure. It is not a reproduced return regression.</x:v>
      </x:c>
      <x:c r="F7" s="4"/>
      <x:c r="G7" s="4"/>
    </x:row>
    <x:row r="8" ht="28" customHeight="1">
      <x:c r="A8" s="4"/>
      <x:c r="B8" s="7" t="str">
        <x:v>U.S. implied equity risk premium</x:v>
      </x:c>
      <x:c r="C8" s="183" t="n">
        <x:v>0.0423</x:v>
      </x:c>
      <x:c r="D8" s="7" t="str">
        <x:v>Damodaran 2025 annual estimate</x:v>
      </x:c>
      <x:c r="E8" s="7" t="str">
        <x:v>4.23% estimate. Page updated Jan 2026</x:v>
      </x:c>
      <x:c r="F8" s="4"/>
      <x:c r="G8" s="4"/>
    </x:row>
    <x:row r="9" ht="23" customHeight="1">
      <x:c r="A9" s="4"/>
      <x:c r="B9" s="7" t="str">
        <x:v>Cost of equity</x:v>
      </x:c>
      <x:c r="C9" s="184" t="n">
        <x:f>C6+C7*C8</x:f>
        <x:v>0.093253</x:v>
      </x:c>
      <x:c r="D9" s="7" t="str">
        <x:v>Rf + beta x ERP</x:v>
      </x:c>
      <x:c r="E9" s="7" t="str">
        <x:v>CAPM</x:v>
      </x:c>
      <x:c r="F9" s="4"/>
      <x:c r="G9" s="4"/>
    </x:row>
    <x:row r="10" ht="28" customHeight="1">
      <x:c r="A10" s="4"/>
      <x:c r="B10" s="7" t="str">
        <x:v>Market capitalization</x:v>
      </x:c>
      <x:c r="C10" s="152" t="n">
        <x:f>'Assumptions'!G11*'Assumptions'!C11</x:f>
        <x:v>26765.209944619997</x:v>
      </x:c>
      <x:c r="D10" s="7" t="str">
        <x:v>Current basic shares × 5 Aug 2026 close</x:v>
      </x:c>
      <x:c r="E10" s="7" t="str">
        <x:v>S10 / S15; derived</x:v>
      </x:c>
      <x:c r="F10" s="4"/>
      <x:c r="G10" s="4"/>
    </x:row>
    <x:row r="11" ht="36" customHeight="1">
      <x:c r="A11" s="4"/>
      <x:c r="B11" s="7" t="str">
        <x:v>Funded + finance-lease debt estimate</x:v>
      </x:c>
      <x:c r="C11" s="152" t="n">
        <x:f>'Assumptions'!C9+'Assumptions'!G15</x:f>
        <x:v>2.694</x:v>
      </x:c>
      <x:c r="D11" s="7" t="str">
        <x:v>S15 funded debt; S01 / S15 finance estimate</x:v>
      </x:c>
      <x:c r="E11" s="7" t="str">
        <x:v>Latest disclosed finance component rolled by reported principal. Not an exact Apr 2026 lease split.</x:v>
      </x:c>
      <x:c r="F11" s="4"/>
      <x:c r="G11" s="4"/>
    </x:row>
    <x:row r="12" ht="57" customHeight="1">
      <x:c r="A12" s="4"/>
      <x:c r="B12" s="7" t="str">
        <x:v>Indicative pre-tax cost of debt</x:v>
      </x:c>
      <x:c r="C12" s="184" t="n">
        <x:f>C6+0.0175</x:f>
        <x:v>0.0638</x:v>
      </x:c>
      <x:c r="D12" s="7" t="str">
        <x:v>Estimated: 10Y Treasury + 1.75% revolver margin</x:v>
      </x:c>
      <x:c r="E12" s="7" t="str">
        <x:v>Retained marginal debt-cost estimate; small finance-lease weight.</x:v>
      </x:c>
      <x:c r="F12" s="4"/>
      <x:c r="G12" s="4"/>
    </x:row>
    <x:row r="13" ht="28" customHeight="1">
      <x:c r="A13" s="4"/>
      <x:c r="B13" s="7" t="str">
        <x:v>Forecast tax rate</x:v>
      </x:c>
      <x:c r="C13" s="185" t="n">
        <x:f>'Assumptions'!C13</x:f>
        <x:v>0.21</x:v>
      </x:c>
      <x:c r="D13" s="7" t="str">
        <x:v>Estimated forecast rate</x:v>
      </x:c>
      <x:c r="E13" s="7" t="str">
        <x:v>FY2025 effective rate 18.3%. Forecast excludes one-time benefits</x:v>
      </x:c>
      <x:c r="F13" s="4"/>
      <x:c r="G13" s="4"/>
    </x:row>
    <x:row r="14" ht="23" customHeight="1">
      <x:c r="A14" s="4"/>
      <x:c r="B14" s="69"/>
      <x:c r="C14" s="186"/>
      <x:c r="D14" s="69"/>
      <x:c r="E14" s="69"/>
      <x:c r="F14" s="4"/>
      <x:c r="G14" s="4"/>
    </x:row>
    <x:row r="15" ht="23" customHeight="1">
      <x:c r="A15" s="4"/>
      <x:c r="B15" s="7" t="str">
        <x:v>Calculation</x:v>
      </x:c>
      <x:c r="C15" s="186"/>
      <x:c r="D15" s="69"/>
      <x:c r="E15" s="69"/>
      <x:c r="F15" s="4"/>
      <x:c r="G15" s="4"/>
    </x:row>
    <x:row r="16" ht="23" customHeight="1">
      <x:c r="A16" s="4"/>
      <x:c r="B16" s="7" t="str">
        <x:v>Equity weight</x:v>
      </x:c>
      <x:c r="C16" s="151" t="n">
        <x:f>C10/(C10+C11)</x:f>
        <x:v>0.9998993570805703</x:v>
      </x:c>
      <x:c r="D16" s="69"/>
      <x:c r="E16" s="69"/>
      <x:c r="F16" s="4"/>
      <x:c r="G16" s="4"/>
    </x:row>
    <x:row r="17" ht="23" customHeight="1">
      <x:c r="A17" s="4"/>
      <x:c r="B17" s="7" t="str">
        <x:v>Debt weight</x:v>
      </x:c>
      <x:c r="C17" s="184" t="n">
        <x:f>C11/(C10+C11)</x:f>
        <x:v>0.00010064291942968732</x:v>
      </x:c>
      <x:c r="D17" s="69"/>
      <x:c r="E17" s="69"/>
      <x:c r="F17" s="4"/>
      <x:c r="G17" s="4"/>
    </x:row>
    <x:row r="18" ht="23" customHeight="1">
      <x:c r="A18" s="4"/>
      <x:c r="B18" s="7" t="str">
        <x:v>After-tax cost of debt</x:v>
      </x:c>
      <x:c r="C18" s="151" t="n">
        <x:f>C12*(1-C13)</x:f>
        <x:v>0.050401999999999995</x:v>
      </x:c>
      <x:c r="D18" s="69"/>
      <x:c r="E18" s="69"/>
      <x:c r="F18" s="4"/>
      <x:c r="G18" s="4"/>
    </x:row>
    <x:row r="19" ht="23" customHeight="1">
      <x:c r="A19" s="4"/>
      <x:c r="B19" s="7" t="str">
        <x:v>WACC</x:v>
      </x:c>
      <x:c r="C19" s="151" t="n">
        <x:f>C16*C9+C17*C18</x:f>
        <x:v>0.09324868735025951</x:v>
      </x:c>
      <x:c r="D19" s="69"/>
      <x:c r="E19" s="69"/>
      <x:c r="F19" s="4"/>
      <x:c r="G19" s="4"/>
    </x:row>
    <x:row r="20" ht="23" customHeight="1">
      <x:c r="A20" s="4"/>
      <x:c r="B20" s="7" t="str">
        <x:v>Selected WACC used in DCF</x:v>
      </x:c>
      <x:c r="C20" s="184" t="n">
        <x:f>C19</x:f>
        <x:v>0.09324868735025951</x:v>
      </x:c>
      <x:c r="D20" s="69"/>
      <x:c r="E20" s="69"/>
      <x:c r="F20" s="4"/>
      <x:c r="G20" s="4"/>
    </x:row>
    <x:row r="21" ht="23" customHeight="1">
      <x:c r="A21" s="4"/>
      <x:c r="B21" s="69"/>
      <x:c r="C21" s="69"/>
      <x:c r="D21" s="69"/>
      <x:c r="E21" s="69"/>
      <x:c r="F21" s="4"/>
      <x:c r="G21" s="4"/>
    </x:row>
    <x:row r="22" ht="23" customHeight="1">
      <x:c r="A22" s="4"/>
      <x:c r="B22" s="69"/>
      <x:c r="C22" s="69"/>
      <x:c r="D22" s="69"/>
      <x:c r="E22" s="69"/>
      <x:c r="F22" s="4"/>
      <x:c r="G22" s="4"/>
    </x:row>
    <x:row r="23" ht="65" customHeight="1">
      <x:c r="A23" s="4"/>
      <x:c r="B23" s="38" t="str">
        <x:v>Operating rent stays in EBIT and operating lease debt is excluded. Estimated finance-lease debt is included in WACC and the</x:v>
      </x:c>
      <x:c r="C23" s="23"/>
      <x:c r="D23" s="23"/>
      <x:c r="E23" s="23"/>
      <x:c r="F23" s="23"/>
      <x:c r="G23" s="23"/>
    </x:row>
    <x:row r="24" ht="24" customHeight="1">
      <x:c r="A24" s="4"/>
      <x:c r="B24" s="39" t="str">
        <x:v>equity bridge. The estimate uses the latest separately disclosed component, not the $93.116m combined April balance. Company</x:v>
      </x:c>
      <x:c r="C24" s="4"/>
      <x:c r="D24" s="4"/>
      <x:c r="E24" s="4"/>
      <x:c r="F24" s="4"/>
      <x:c r="G24" s="4"/>
    </x:row>
    <x:row r="25" ht="24" customHeight="1">
      <x:c r="A25" s="4"/>
      <x:c r="B25" s="39" t="str">
        <x:v>beta 1.11 is retained as analyst risk judgment, not a verified dated provider quote.</x:v>
      </x:c>
      <x:c r="C25" s="4"/>
      <x:c r="D25" s="4"/>
      <x:c r="E25" s="4"/>
      <x:c r="F25" s="4"/>
      <x:c r="G25" s="4"/>
    </x:row>
    <x:row r="26" ht="23" customHeight="1">
      <x:c r="A26" s="4"/>
      <x:c r="B26" s="4"/>
      <x:c r="C26" s="4"/>
      <x:c r="D26" s="4"/>
      <x:c r="E26" s="4"/>
      <x:c r="F26" s="4"/>
      <x:c r="G26" s="4"/>
    </x:row>
    <x:row r="27" ht="23" customHeight="1">
      <x:c r="A27" s="4"/>
      <x:c r="B27" s="4"/>
      <x:c r="C27" s="4"/>
      <x:c r="D27" s="4"/>
      <x:c r="E27" s="4"/>
      <x:c r="F27" s="4"/>
      <x:c r="G27" s="4"/>
    </x:row>
    <x:row r="28" ht="23" customHeight="1">
      <x:c r="A28" s="4"/>
      <x:c r="B28" s="4"/>
      <x:c r="C28" s="4"/>
      <x:c r="D28" s="4"/>
      <x:c r="E28" s="4"/>
      <x:c r="F28" s="4"/>
      <x:c r="G28" s="4"/>
    </x:row>
    <x:row r="29" ht="23" customHeight="1">
      <x:c r="A29" s="4"/>
      <x:c r="B29" s="4"/>
      <x:c r="C29" s="4"/>
      <x:c r="D29" s="4"/>
      <x:c r="E29" s="4"/>
      <x:c r="F29" s="4"/>
      <x:c r="G29" s="4"/>
    </x:row>
    <x:row r="30" ht="23" customHeight="1">
      <x:c r="A30" s="4"/>
      <x:c r="B30" s="4"/>
      <x:c r="C30" s="4"/>
      <x:c r="D30" s="4"/>
      <x:c r="E30" s="4"/>
      <x:c r="F30" s="4"/>
      <x:c r="G30" s="4"/>
    </x:row>
  </x:sheetData>
  <x:pageMargins left="0.7" right="0.7" top="0.75" bottom="0.75" header="0.3" footer="0.3"/>
</x:worksheet>
</file>

<file path=xl/worksheets/sheet9.xml><?xml version="1.0" encoding="utf-8"?>
<x:worksheet xmlns:x="http://schemas.openxmlformats.org/spreadsheetml/2006/main">
  <x:sheetPr>
    <x:tabColor rgb="FFD6C6B0"/>
  </x:sheetPr>
  <x:sheetViews>
    <x:sheetView showGridLines="0" workbookViewId="0">
      <x:pane xSplit="2" ySplit="5" topLeftCell="C6" activePane="bottomRigh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ht="31" customHeight="1">
      <x:c r="A1" s="7"/>
      <x:c r="B1" s="19" t="str">
        <x:v>Historical Financials &amp; Operating Evidence</x:v>
      </x:c>
      <x:c r="C1" s="19"/>
      <x:c r="D1" s="19"/>
      <x:c r="E1" s="19"/>
      <x:c r="F1" s="19"/>
      <x:c r="G1" s="19"/>
      <x:c r="H1" s="19"/>
      <x:c r="I1" s="19"/>
      <x:c r="J1" s="19"/>
    </x:row>
    <x:row r="2" ht="34" customHeight="1">
      <x:c r="A2" s="7"/>
      <x:c r="B2" s="23" t="str">
        <x:v>Fiscal year ends 31 July. Reported unless labeled calculated. USD millions except shares and percentages.</x:v>
      </x:c>
      <x:c r="C2" s="23"/>
      <x:c r="D2" s="23"/>
      <x:c r="E2" s="23"/>
      <x:c r="F2" s="23"/>
      <x:c r="G2" s="23"/>
      <x:c r="H2" s="23"/>
      <x:c r="I2" s="23"/>
      <x:c r="J2" s="23"/>
    </x:row>
    <x:row r="3" ht="23" customHeight="1">
      <x:c r="A3" s="4"/>
      <x:c r="B3" s="4"/>
      <x:c r="C3" s="4"/>
      <x:c r="D3" s="4"/>
      <x:c r="E3" s="4"/>
      <x:c r="F3" s="4"/>
      <x:c r="G3" s="4"/>
      <x:c r="H3" s="4"/>
      <x:c r="I3" s="4"/>
      <x:c r="J3" s="4"/>
    </x:row>
    <x:row r="4" ht="28" customHeight="1">
      <x:c r="A4" s="4"/>
      <x:c r="B4" s="7" t="str">
        <x:v>Consolidated Income Statement and Cash Flow</x:v>
      </x:c>
      <x:c r="C4" s="4"/>
      <x:c r="D4" s="4"/>
      <x:c r="E4" s="4"/>
      <x:c r="F4" s="4"/>
      <x:c r="G4" s="4"/>
      <x:c r="H4" s="4"/>
      <x:c r="I4" s="4"/>
      <x:c r="J4" s="4"/>
    </x:row>
    <x:row r="5" ht="34" customHeight="1">
      <x:c r="A5" s="4"/>
      <x:c r="B5" s="34" t="str">
        <x:v>Metric</x:v>
      </x:c>
      <x:c r="C5" s="34" t="str">
        <x:v>FY2021A</x:v>
      </x:c>
      <x:c r="D5" s="34" t="str">
        <x:v>FY2022A</x:v>
      </x:c>
      <x:c r="E5" s="34" t="str">
        <x:v>FY2023A</x:v>
      </x:c>
      <x:c r="F5" s="34" t="str">
        <x:v>FY2024A</x:v>
      </x:c>
      <x:c r="G5" s="34" t="str">
        <x:v>FY2025A</x:v>
      </x:c>
      <x:c r="H5" s="34" t="str">
        <x:v>Formula / status</x:v>
      </x:c>
      <x:c r="I5" s="36"/>
      <x:c r="J5" s="34" t="str">
        <x:v>Sources S01-S03 cover FY2025, FY2024 and FY2022 filings.
Gross profit is revenue less yard costs and vehicle-sales costs. Historical FCF is operating cash flow less PP&amp;E purchases. Historical FCFF on Forecast also deducts acquisitions. The FY2024 acquisition line keeps the cash-flow statement's sign, which reflects cash acquired.</x:v>
      </x:c>
    </x:row>
    <x:row r="6" ht="23" customHeight="1">
      <x:c r="A6" s="4"/>
      <x:c r="B6" s="6" t="str">
        <x:v>Total revenue</x:v>
      </x:c>
      <x:c r="C6" s="93" t="n">
        <x:v>2692.511</x:v>
      </x:c>
      <x:c r="D6" s="93" t="n">
        <x:v>3500.921</x:v>
      </x:c>
      <x:c r="E6" s="93" t="n">
        <x:v>3869.518</x:v>
      </x:c>
      <x:c r="F6" s="93" t="n">
        <x:v>4236.823</x:v>
      </x:c>
      <x:c r="G6" s="93" t="n">
        <x:v>4646.958</x:v>
      </x:c>
      <x:c r="H6" s="6" t="str">
        <x:v>Reported</x:v>
      </x:c>
      <x:c r="I6" s="4"/>
      <x:c r="J6" s="4"/>
    </x:row>
    <x:row r="7" ht="23" customHeight="1">
      <x:c r="A7" s="4"/>
      <x:c r="B7" s="6" t="str">
        <x:v>Service revenue</x:v>
      </x:c>
      <x:c r="C7" s="93" t="n">
        <x:v>2291.867</x:v>
      </x:c>
      <x:c r="D7" s="93" t="n">
        <x:v>2853.04</x:v>
      </x:c>
      <x:c r="E7" s="93" t="n">
        <x:v>3198.128</x:v>
      </x:c>
      <x:c r="F7" s="93" t="n">
        <x:v>3561.002</x:v>
      </x:c>
      <x:c r="G7" s="93" t="n">
        <x:v>3968.662</x:v>
      </x:c>
      <x:c r="H7" s="6" t="str">
        <x:v>Reported</x:v>
      </x:c>
      <x:c r="I7" s="4"/>
      <x:c r="J7" s="4"/>
    </x:row>
    <x:row r="8" ht="23" customHeight="1">
      <x:c r="A8" s="4"/>
      <x:c r="B8" s="6" t="str">
        <x:v>Vehicle sales</x:v>
      </x:c>
      <x:c r="C8" s="93" t="n">
        <x:v>400.644</x:v>
      </x:c>
      <x:c r="D8" s="93" t="n">
        <x:v>647.881</x:v>
      </x:c>
      <x:c r="E8" s="93" t="n">
        <x:v>671.39</x:v>
      </x:c>
      <x:c r="F8" s="93" t="n">
        <x:v>675.821</x:v>
      </x:c>
      <x:c r="G8" s="93" t="n">
        <x:v>678.296</x:v>
      </x:c>
      <x:c r="H8" s="6" t="str">
        <x:v>Reported</x:v>
      </x:c>
      <x:c r="I8" s="4"/>
      <x:c r="J8" s="4"/>
    </x:row>
    <x:row r="9" ht="23" customHeight="1">
      <x:c r="A9" s="4"/>
      <x:c r="B9" s="6" t="str">
        <x:v>U.S. service revenue</x:v>
      </x:c>
      <x:c r="C9" s="93" t="n">
        <x:v>2017.504</x:v>
      </x:c>
      <x:c r="D9" s="93" t="n">
        <x:v>2533.165</x:v>
      </x:c>
      <x:c r="E9" s="93" t="n">
        <x:v>2841.641</x:v>
      </x:c>
      <x:c r="F9" s="93" t="n">
        <x:v>3126.102</x:v>
      </x:c>
      <x:c r="G9" s="93" t="n">
        <x:v>3451.558</x:v>
      </x:c>
      <x:c r="H9" s="6" t="str">
        <x:v>Reported</x:v>
      </x:c>
      <x:c r="I9" s="4"/>
      <x:c r="J9" s="4"/>
    </x:row>
    <x:row r="10" ht="23" customHeight="1">
      <x:c r="A10" s="4"/>
      <x:c r="B10" s="6" t="str">
        <x:v>International service revenue</x:v>
      </x:c>
      <x:c r="C10" s="93" t="n">
        <x:v>274.363</x:v>
      </x:c>
      <x:c r="D10" s="93" t="n">
        <x:v>319.875</x:v>
      </x:c>
      <x:c r="E10" s="93" t="n">
        <x:v>356.487</x:v>
      </x:c>
      <x:c r="F10" s="93" t="n">
        <x:v>434.9</x:v>
      </x:c>
      <x:c r="G10" s="93" t="n">
        <x:v>517.104</x:v>
      </x:c>
      <x:c r="H10" s="6" t="str">
        <x:v>Reported</x:v>
      </x:c>
      <x:c r="I10" s="4"/>
      <x:c r="J10" s="4"/>
    </x:row>
    <x:row r="11" ht="23" customHeight="1">
      <x:c r="A11" s="4"/>
      <x:c r="B11" s="6" t="str">
        <x:v>U.S. vehicle sales</x:v>
      </x:c>
      <x:c r="C11" s="93" t="n">
        <x:v>254.568</x:v>
      </x:c>
      <x:c r="D11" s="93" t="n">
        <x:v>411.985</x:v>
      </x:c>
      <x:c r="E11" s="93" t="n">
        <x:v>348.007</x:v>
      </x:c>
      <x:c r="F11" s="93" t="n">
        <x:v>338.633</x:v>
      </x:c>
      <x:c r="G11" s="93" t="n">
        <x:v>403.546</x:v>
      </x:c>
      <x:c r="H11" s="6" t="str">
        <x:v>Reported</x:v>
      </x:c>
      <x:c r="I11" s="4"/>
      <x:c r="J11" s="4"/>
    </x:row>
    <x:row r="12" ht="80" customHeight="1">
      <x:c r="A12" s="4"/>
      <x:c r="B12" s="6" t="str">
        <x:v>International vehicle sales</x:v>
      </x:c>
      <x:c r="C12" s="93" t="n">
        <x:v>146.076</x:v>
      </x:c>
      <x:c r="D12" s="93" t="n">
        <x:v>235.896</x:v>
      </x:c>
      <x:c r="E12" s="93" t="n">
        <x:v>323.383</x:v>
      </x:c>
      <x:c r="F12" s="93" t="n">
        <x:v>337.188</x:v>
      </x:c>
      <x:c r="G12" s="93" t="n">
        <x:v>274.75</x:v>
      </x:c>
      <x:c r="H12" s="6" t="str">
        <x:v>Reported</x:v>
      </x:c>
      <x:c r="I12" s="4"/>
      <x:c r="J12" s="7" t="str">
        <x:v>The Q3 FY2026 release reports over 250 locations in 11 countries and over four million vehicles sold in the prior year. These figures do not give annual historical yard counts. The FY2025 letter reports 21,000+ acres and about $500m capex, mainly for added capacity and storm preparation. A consistent annual yard-count series is unavailable.</x:v>
      </x:c>
    </x:row>
    <x:row r="13" ht="23" customHeight="1">
      <x:c r="A13" s="4"/>
      <x:c r="B13" s="6" t="str">
        <x:v>Facility / yard operations</x:v>
      </x:c>
      <x:c r="C13" s="93" t="n">
        <x:v>1003.292</x:v>
      </x:c>
      <x:c r="D13" s="93" t="n">
        <x:v>1309.497</x:v>
      </x:c>
      <x:c r="E13" s="93" t="n">
        <x:v>1518.029</x:v>
      </x:c>
      <x:c r="F13" s="93" t="n">
        <x:v>1710.084</x:v>
      </x:c>
      <x:c r="G13" s="93" t="n">
        <x:v>1944.318</x:v>
      </x:c>
      <x:c r="H13" s="6" t="str">
        <x:v>Reported</x:v>
      </x:c>
      <x:c r="I13" s="4"/>
      <x:c r="J13" s="4"/>
    </x:row>
    <x:row r="14" ht="23" customHeight="1">
      <x:c r="A14" s="4"/>
      <x:c r="B14" s="6" t="str">
        <x:v>Cost of vehicle sales</x:v>
      </x:c>
      <x:c r="C14" s="93" t="n">
        <x:v>346.128</x:v>
      </x:c>
      <x:c r="D14" s="93" t="n">
        <x:v>585.203</x:v>
      </x:c>
      <x:c r="E14" s="93" t="n">
        <x:v>614.498</x:v>
      </x:c>
      <x:c r="F14" s="93" t="n">
        <x:v>619.487</x:v>
      </x:c>
      <x:c r="G14" s="93" t="n">
        <x:v>602.997</x:v>
      </x:c>
      <x:c r="H14" s="6" t="str">
        <x:v>Reported</x:v>
      </x:c>
      <x:c r="I14" s="4"/>
      <x:c r="J14" s="4"/>
    </x:row>
    <x:row r="15" ht="23" customHeight="1">
      <x:c r="A15" s="4"/>
      <x:c r="B15" s="6" t="str">
        <x:v>General &amp; administrative</x:v>
      </x:c>
      <x:c r="C15" s="93" t="n">
        <x:v>206.665</x:v>
      </x:c>
      <x:c r="D15" s="93" t="n">
        <x:v>231.224</x:v>
      </x:c>
      <x:c r="E15" s="93" t="n">
        <x:v>250.422</x:v>
      </x:c>
      <x:c r="F15" s="93" t="n">
        <x:v>335.229</x:v>
      </x:c>
      <x:c r="G15" s="93" t="n">
        <x:v>402.929</x:v>
      </x:c>
      <x:c r="H15" s="6" t="str">
        <x:v>Reported</x:v>
      </x:c>
      <x:c r="I15" s="4"/>
      <x:c r="J15" s="4"/>
    </x:row>
    <x:row r="16" ht="28" customHeight="1">
      <x:c r="A16" s="4"/>
      <x:c r="B16" s="6" t="str">
        <x:v>Gross profit (derived)</x:v>
      </x:c>
      <x:c r="C16" s="100" t="n">
        <x:f>C6-C13-C14</x:f>
        <x:v>1343.0910000000001</x:v>
      </x:c>
      <x:c r="D16" s="100" t="n">
        <x:f>D6-D13-D14</x:f>
        <x:v>1606.221</x:v>
      </x:c>
      <x:c r="E16" s="100" t="n">
        <x:f>E6-E13-E14</x:f>
        <x:v>1736.991</x:v>
      </x:c>
      <x:c r="F16" s="100" t="n">
        <x:f>F6-F13-F14</x:f>
        <x:v>1907.2520000000004</x:v>
      </x:c>
      <x:c r="G16" s="100" t="n">
        <x:f>G6-G13-G14</x:f>
        <x:v>2099.6429999999996</x:v>
      </x:c>
      <x:c r="H16" s="7" t="str">
        <x:v>Revenue − facility / yard ops − COVS</x:v>
      </x:c>
      <x:c r="I16" s="4"/>
      <x:c r="J16" s="4"/>
    </x:row>
    <x:row r="17" ht="23" customHeight="1">
      <x:c r="A17" s="4"/>
      <x:c r="B17" s="6" t="str">
        <x:v>Gross margin (derived)</x:v>
      </x:c>
      <x:c r="C17" s="137" t="n">
        <x:f>C16/C6</x:f>
        <x:v>0.498824703037425</x:v>
      </x:c>
      <x:c r="D17" s="137" t="n">
        <x:f>D16/D6</x:f>
        <x:v>0.4587995558882934</x:v>
      </x:c>
      <x:c r="E17" s="137" t="n">
        <x:f>E16/E6</x:f>
        <x:v>0.44889079208314836</x:v>
      </x:c>
      <x:c r="F17" s="137" t="n">
        <x:f>F16/F6</x:f>
        <x:v>0.4501608870608945</x:v>
      </x:c>
      <x:c r="G17" s="137" t="n">
        <x:f>G16/G6</x:f>
        <x:v>0.45183171442479136</x:v>
      </x:c>
      <x:c r="H17" s="6" t="str">
        <x:v>Gross profit / revenue</x:v>
      </x:c>
      <x:c r="I17" s="4"/>
      <x:c r="J17" s="4"/>
    </x:row>
    <x:row r="18" ht="23" customHeight="1">
      <x:c r="A18" s="4"/>
      <x:c r="B18" s="6" t="str">
        <x:v>Operating income</x:v>
      </x:c>
      <x:c r="C18" s="93" t="n">
        <x:v>1136.426</x:v>
      </x:c>
      <x:c r="D18" s="93" t="n">
        <x:v>1374.997</x:v>
      </x:c>
      <x:c r="E18" s="93" t="n">
        <x:v>1486.569</x:v>
      </x:c>
      <x:c r="F18" s="93" t="n">
        <x:v>1572.023</x:v>
      </x:c>
      <x:c r="G18" s="93" t="n">
        <x:v>1696.714</x:v>
      </x:c>
      <x:c r="H18" s="6" t="str">
        <x:v>Reported</x:v>
      </x:c>
      <x:c r="I18" s="4"/>
      <x:c r="J18" s="4"/>
    </x:row>
    <x:row r="19" ht="23" customHeight="1">
      <x:c r="A19" s="4"/>
      <x:c r="B19" s="6" t="str">
        <x:v>Operating margin (derived)</x:v>
      </x:c>
      <x:c r="C19" s="137" t="n">
        <x:f>C18/C6</x:f>
        <x:v>0.42206921345910936</x:v>
      </x:c>
      <x:c r="D19" s="137" t="n">
        <x:f>D18/D6</x:f>
        <x:v>0.3927529355846648</x:v>
      </x:c>
      <x:c r="E19" s="137" t="n">
        <x:f>E18/E6</x:f>
        <x:v>0.38417420464254204</x:v>
      </x:c>
      <x:c r="F19" s="137" t="n">
        <x:f>F18/F6</x:f>
        <x:v>0.3710381576006361</x:v>
      </x:c>
      <x:c r="G19" s="137" t="n">
        <x:f>G18/G6</x:f>
        <x:v>0.36512359268149186</x:v>
      </x:c>
      <x:c r="H19" s="6" t="str">
        <x:v>Operating income / revenue</x:v>
      </x:c>
      <x:c r="I19" s="4"/>
      <x:c r="J19" s="4"/>
    </x:row>
    <x:row r="20" ht="28" customHeight="1">
      <x:c r="A20" s="4"/>
      <x:c r="B20" s="7" t="str">
        <x:v>Net income attributable to Copart</x:v>
      </x:c>
      <x:c r="C20" s="93" t="n">
        <x:v>936.495</x:v>
      </x:c>
      <x:c r="D20" s="93" t="n">
        <x:v>1090.13</x:v>
      </x:c>
      <x:c r="E20" s="93" t="n">
        <x:v>1237.741</x:v>
      </x:c>
      <x:c r="F20" s="93" t="n">
        <x:v>1363.02</x:v>
      </x:c>
      <x:c r="G20" s="93" t="n">
        <x:v>1552.449</x:v>
      </x:c>
      <x:c r="H20" s="6" t="str">
        <x:v>Reported</x:v>
      </x:c>
      <x:c r="I20" s="4"/>
      <x:c r="J20" s="4"/>
    </x:row>
    <x:row r="21" ht="23" customHeight="1">
      <x:c r="A21" s="4"/>
      <x:c r="B21" s="6" t="str">
        <x:v>Cash flow from operations</x:v>
      </x:c>
      <x:c r="C21" s="93" t="n">
        <x:v>990.891</x:v>
      </x:c>
      <x:c r="D21" s="93" t="n">
        <x:v>1176.683</x:v>
      </x:c>
      <x:c r="E21" s="93" t="n">
        <x:v>1364.21</x:v>
      </x:c>
      <x:c r="F21" s="93" t="n">
        <x:v>1472.564</x:v>
      </x:c>
      <x:c r="G21" s="93" t="n">
        <x:v>1799.75</x:v>
      </x:c>
      <x:c r="H21" s="6" t="str">
        <x:v>Reported</x:v>
      </x:c>
      <x:c r="I21" s="4"/>
      <x:c r="J21" s="4"/>
    </x:row>
    <x:row r="22" ht="23" customHeight="1">
      <x:c r="A22" s="4"/>
      <x:c r="B22" s="6" t="str">
        <x:v>D&amp;A (cash-flow statement)</x:v>
      </x:c>
      <x:c r="C22" s="93" t="n">
        <x:v>123.084</x:v>
      </x:c>
      <x:c r="D22" s="93" t="n">
        <x:v>138.605</x:v>
      </x:c>
      <x:c r="E22" s="93" t="n">
        <x:v>159.684</x:v>
      </x:c>
      <x:c r="F22" s="93" t="n">
        <x:v>190.256</x:v>
      </x:c>
      <x:c r="G22" s="93" t="n">
        <x:v>217.784</x:v>
      </x:c>
      <x:c r="H22" s="6" t="str">
        <x:v>Reported</x:v>
      </x:c>
      <x:c r="I22" s="4"/>
      <x:c r="J22" s="4"/>
    </x:row>
    <x:row r="23" ht="23" customHeight="1">
      <x:c r="A23" s="4"/>
      <x:c r="B23" s="6" t="str">
        <x:v>PP&amp;E purchases</x:v>
      </x:c>
      <x:c r="C23" s="93" t="n">
        <x:v>462.996</x:v>
      </x:c>
      <x:c r="D23" s="93" t="n">
        <x:v>337.448</x:v>
      </x:c>
      <x:c r="E23" s="93" t="n">
        <x:v>516.636</x:v>
      </x:c>
      <x:c r="F23" s="93" t="n">
        <x:v>510.99</x:v>
      </x:c>
      <x:c r="G23" s="93" t="n">
        <x:v>568.99</x:v>
      </x:c>
      <x:c r="H23" s="6" t="str">
        <x:v>Reported</x:v>
      </x:c>
      <x:c r="I23" s="4"/>
      <x:c r="J23" s="4"/>
    </x:row>
    <x:row r="24" ht="23" customHeight="1">
      <x:c r="A24" s="4"/>
      <x:c r="B24" s="6" t="str">
        <x:v>Acquisition cash paid</x:v>
      </x:c>
      <x:c r="C24" s="93" t="n">
        <x:v>5</x:v>
      </x:c>
      <x:c r="D24" s="93" t="n">
        <x:v>106.604</x:v>
      </x:c>
      <x:c r="E24" s="93" t="n">
        <x:v>0</x:v>
      </x:c>
      <x:c r="F24" s="93" t="n">
        <x:v>-17.662</x:v>
      </x:c>
      <x:c r="G24" s="93" t="n">
        <x:v>1.223</x:v>
      </x:c>
      <x:c r="H24" s="6" t="str">
        <x:v>Reported cash-flow line</x:v>
      </x:c>
      <x:c r="I24" s="4"/>
      <x:c r="J24" s="4"/>
    </x:row>
    <x:row r="25" ht="28" customHeight="1">
      <x:c r="A25" s="4"/>
      <x:c r="B25" s="7" t="str">
        <x:v>Capex &amp; acquisitions (management summary)</x:v>
      </x:c>
      <x:c r="C25" s="93" t="n">
        <x:v>467.996</x:v>
      </x:c>
      <x:c r="D25" s="93" t="n">
        <x:v>444.052</x:v>
      </x:c>
      <x:c r="E25" s="93" t="n">
        <x:v>516.636</x:v>
      </x:c>
      <x:c r="F25" s="93" t="n">
        <x:v>493.328</x:v>
      </x:c>
      <x:c r="G25" s="93" t="n">
        <x:v>570.213</x:v>
      </x:c>
      <x:c r="H25" s="6" t="str">
        <x:v>Reported management summary</x:v>
      </x:c>
      <x:c r="I25" s="4"/>
      <x:c r="J25" s="4"/>
    </x:row>
    <x:row r="26" ht="28" customHeight="1">
      <x:c r="A26" s="4"/>
      <x:c r="B26" s="7" t="str">
        <x:v>Free cash flow = CFO − PP&amp;E purchases (derived)</x:v>
      </x:c>
      <x:c r="C26" s="100" t="n">
        <x:f>C21-C23</x:f>
        <x:v>527.895</x:v>
      </x:c>
      <x:c r="D26" s="100" t="n">
        <x:f>D21-D23</x:f>
        <x:v>839.235</x:v>
      </x:c>
      <x:c r="E26" s="100" t="n">
        <x:f>E21-E23</x:f>
        <x:v>847.5740000000001</x:v>
      </x:c>
      <x:c r="F26" s="100" t="n">
        <x:f>F21-F23</x:f>
        <x:v>961.5740000000001</x:v>
      </x:c>
      <x:c r="G26" s="100" t="n">
        <x:f>G21-G23</x:f>
        <x:v>1230.76</x:v>
      </x:c>
      <x:c r="H26" s="6" t="str">
        <x:v>CFO − PP&amp;E purchases</x:v>
      </x:c>
      <x:c r="I26" s="4"/>
      <x:c r="J26" s="4"/>
    </x:row>
    <x:row r="27" ht="28" customHeight="1">
      <x:c r="A27" s="4"/>
      <x:c r="B27" s="7" t="str">
        <x:v>NWC cash-flow effect (derived from CFO statement)</x:v>
      </x:c>
      <x:c r="C27" s="93" t="n">
        <x:v>-95.818</x:v>
      </x:c>
      <x:c r="D27" s="93" t="n">
        <x:v>-125.487</x:v>
      </x:c>
      <x:c r="E27" s="93" t="n">
        <x:v>-88.281</x:v>
      </x:c>
      <x:c r="F27" s="93" t="n">
        <x:v>-114.137</x:v>
      </x:c>
      <x:c r="G27" s="93" t="n">
        <x:v>22.56</x:v>
      </x:c>
      <x:c r="H27" s="7" t="str">
        <x:v>Sum of CFO operating asset/liability changes</x:v>
      </x:c>
      <x:c r="I27" s="4"/>
      <x:c r="J27" s="4"/>
    </x:row>
    <x:row r="28" ht="23" customHeight="1">
      <x:c r="A28" s="4"/>
      <x:c r="B28" s="6" t="str">
        <x:v>Implied change in NWC (derived)</x:v>
      </x:c>
      <x:c r="C28" s="100" t="n">
        <x:f>-C27</x:f>
        <x:v>95.818</x:v>
      </x:c>
      <x:c r="D28" s="100" t="n">
        <x:f>-D27</x:f>
        <x:v>125.487</x:v>
      </x:c>
      <x:c r="E28" s="100" t="n">
        <x:f>-E27</x:f>
        <x:v>88.281</x:v>
      </x:c>
      <x:c r="F28" s="100" t="n">
        <x:f>-F27</x:f>
        <x:v>114.137</x:v>
      </x:c>
      <x:c r="G28" s="100" t="n">
        <x:f>-G27</x:f>
        <x:v>-22.56</x:v>
      </x:c>
      <x:c r="H28" s="6" t="str">
        <x:v>−NWC cash-flow effect</x:v>
      </x:c>
      <x:c r="I28" s="4"/>
      <x:c r="J28" s="4"/>
    </x:row>
    <x:row r="29" ht="23" customHeight="1">
      <x:c r="A29" s="4"/>
      <x:c r="B29" s="4"/>
      <x:c r="C29" s="4"/>
      <x:c r="D29" s="4"/>
      <x:c r="E29" s="4"/>
      <x:c r="F29" s="4"/>
      <x:c r="G29" s="4"/>
      <x:c r="H29" s="4"/>
      <x:c r="I29" s="4"/>
      <x:c r="J29" s="4"/>
    </x:row>
    <x:row r="30" ht="23" customHeight="1">
      <x:c r="A30" s="4"/>
      <x:c r="B30" s="4"/>
      <x:c r="C30" s="4"/>
      <x:c r="D30" s="4"/>
      <x:c r="E30" s="4"/>
      <x:c r="F30" s="4"/>
      <x:c r="G30" s="4"/>
      <x:c r="H30" s="4"/>
      <x:c r="I30" s="4"/>
      <x:c r="J30" s="4"/>
    </x:row>
    <x:row r="31" ht="28" customHeight="1">
      <x:c r="A31" s="4"/>
      <x:c r="B31" s="7" t="str">
        <x:v>Balance Sheet, Capital Base &amp; Operating Disclosure</x:v>
      </x:c>
      <x:c r="C31" s="4"/>
      <x:c r="D31" s="4"/>
      <x:c r="E31" s="4"/>
      <x:c r="F31" s="4"/>
      <x:c r="G31" s="4"/>
      <x:c r="H31" s="4"/>
      <x:c r="I31" s="4"/>
      <x:c r="J31" s="4"/>
    </x:row>
    <x:row r="32" ht="34" customHeight="1">
      <x:c r="A32" s="4"/>
      <x:c r="B32" s="34" t="str">
        <x:v>Metric</x:v>
      </x:c>
      <x:c r="C32" s="34" t="str">
        <x:v>FY2021A</x:v>
      </x:c>
      <x:c r="D32" s="34" t="str">
        <x:v>FY2022A</x:v>
      </x:c>
      <x:c r="E32" s="34" t="str">
        <x:v>FY2023A</x:v>
      </x:c>
      <x:c r="F32" s="34" t="str">
        <x:v>FY2024A</x:v>
      </x:c>
      <x:c r="G32" s="34" t="str">
        <x:v>FY2025A</x:v>
      </x:c>
      <x:c r="H32" s="34" t="str">
        <x:v>Formula / status</x:v>
      </x:c>
      <x:c r="I32" s="36"/>
      <x:c r="J32" s="36"/>
    </x:row>
    <x:row r="33" ht="28" customHeight="1">
      <x:c r="A33" s="4"/>
      <x:c r="B33" s="7" t="str">
        <x:v>Cash, cash equivalents &amp; restricted cash</x:v>
      </x:c>
      <x:c r="C33" s="93" t="n">
        <x:v>1048.26</x:v>
      </x:c>
      <x:c r="D33" s="93" t="n">
        <x:v>1384.236</x:v>
      </x:c>
      <x:c r="E33" s="93" t="n">
        <x:v>957.395</x:v>
      </x:c>
      <x:c r="F33" s="93" t="n">
        <x:v>1514.111</x:v>
      </x:c>
      <x:c r="G33" s="93" t="n">
        <x:v>2780.531</x:v>
      </x:c>
      <x:c r="H33" s="6" t="str">
        <x:v>Reported</x:v>
      </x:c>
      <x:c r="I33" s="4"/>
      <x:c r="J33" s="4"/>
    </x:row>
    <x:row r="34" ht="28" customHeight="1">
      <x:c r="A34" s="4"/>
      <x:c r="B34" s="7" t="str">
        <x:v>Debt and other long-term liabilities</x:v>
      </x:c>
      <x:c r="C34" s="93" t="n">
        <x:v>397.636</x:v>
      </x:c>
      <x:c r="D34" s="93" t="n">
        <x:v>1.996</x:v>
      </x:c>
      <x:c r="E34" s="93" t="n">
        <x:v>10.903</x:v>
      </x:c>
      <x:c r="F34" s="93" t="n">
        <x:v>0</x:v>
      </x:c>
      <x:c r="G34" s="93" t="n">
        <x:v>0</x:v>
      </x:c>
      <x:c r="H34" s="6" t="str">
        <x:v>Reported</x:v>
      </x:c>
      <x:c r="I34" s="4"/>
      <x:c r="J34" s="4"/>
    </x:row>
    <x:row r="35" ht="28" customHeight="1">
      <x:c r="A35" s="4"/>
      <x:c r="B35" s="7" t="str">
        <x:v>Diluted weighted-average shares (split-adjusted)</x:v>
      </x:c>
      <x:c r="C35" s="93" t="n">
        <x:v>961.16</x:v>
      </x:c>
      <x:c r="D35" s="93" t="n">
        <x:v>964.604</x:v>
      </x:c>
      <x:c r="E35" s="93" t="n">
        <x:v>966.647</x:v>
      </x:c>
      <x:c r="F35" s="93" t="n">
        <x:v>974.798</x:v>
      </x:c>
      <x:c r="G35" s="93" t="n">
        <x:v>977.563</x:v>
      </x:c>
      <x:c r="H35" s="7" t="str">
        <x:v>FY2021-22 adjusted for subsequent 4:1 equivalent split</x:v>
      </x:c>
      <x:c r="I35" s="4"/>
      <x:c r="J35" s="4"/>
    </x:row>
    <x:row r="36" ht="23" customHeight="1">
      <x:c r="A36" s="4"/>
      <x:c r="B36" s="6" t="str">
        <x:v>Land balance</x:v>
      </x:c>
      <x:c r="C36" s="93" t="n">
        <x:v>1428.262</x:v>
      </x:c>
      <x:c r="D36" s="93" t="n">
        <x:v>1526.446</x:v>
      </x:c>
      <x:c r="E36" s="93" t="n">
        <x:v>1812.001</x:v>
      </x:c>
      <x:c r="F36" s="93" t="n">
        <x:v>2027.639</x:v>
      </x:c>
      <x:c r="G36" s="93" t="n">
        <x:v>2394.553</x:v>
      </x:c>
      <x:c r="H36" s="6" t="str">
        <x:v>Reported</x:v>
      </x:c>
      <x:c r="I36" s="4"/>
      <x:c r="J36" s="4"/>
    </x:row>
    <x:row r="37" ht="23" customHeight="1">
      <x:c r="A37" s="4"/>
      <x:c r="B37" s="6" t="str">
        <x:v>Net PP&amp;E</x:v>
      </x:c>
      <x:c r="C37" s="93" t="n">
        <x:v>2296.624</x:v>
      </x:c>
      <x:c r="D37" s="93" t="n">
        <x:v>2485.764</x:v>
      </x:c>
      <x:c r="E37" s="93" t="n">
        <x:v>2844.339</x:v>
      </x:c>
      <x:c r="F37" s="93" t="n">
        <x:v>3175.838</x:v>
      </x:c>
      <x:c r="G37" s="93" t="n">
        <x:v>3598.093</x:v>
      </x:c>
      <x:c r="H37" s="6" t="str">
        <x:v>Reported</x:v>
      </x:c>
      <x:c r="I37" s="4"/>
      <x:c r="J37" s="4"/>
    </x:row>
    <x:row r="38" ht="28" customHeight="1">
      <x:c r="A38" s="4"/>
      <x:c r="B38" s="7" t="str">
        <x:v>Insurance share of vehicles processed</x:v>
      </x:c>
      <x:c r="C38" s="70" t="str">
        <x:v>N/D</x:v>
      </x:c>
      <x:c r="D38" s="70" t="str">
        <x:v>N/D</x:v>
      </x:c>
      <x:c r="E38" s="91" t="n">
        <x:v>0.83</x:v>
      </x:c>
      <x:c r="F38" s="91" t="n">
        <x:v>0.81</x:v>
      </x:c>
      <x:c r="G38" s="91" t="n">
        <x:v>0.81</x:v>
      </x:c>
      <x:c r="H38" s="6" t="str">
        <x:v>Reported where available</x:v>
      </x:c>
      <x:c r="I38" s="4"/>
      <x:c r="J38" s="4"/>
    </x:row>
    <x:row r="39" ht="23" customHeight="1">
      <x:c r="A39" s="4"/>
      <x:c r="B39" s="6" t="str">
        <x:v>Annual absolute vehicle volume</x:v>
      </x:c>
      <x:c r="C39" s="6" t="str">
        <x:v>N/D</x:v>
      </x:c>
      <x:c r="D39" s="6" t="str">
        <x:v>N/D</x:v>
      </x:c>
      <x:c r="E39" s="6" t="str">
        <x:v>N/D</x:v>
      </x:c>
      <x:c r="F39" s="6" t="str">
        <x:v>N/D</x:v>
      </x:c>
      <x:c r="G39" s="6" t="str">
        <x:v>N/D</x:v>
      </x:c>
      <x:c r="H39" s="6" t="str">
        <x:v>Not disclosed</x:v>
      </x:c>
      <x:c r="I39" s="4"/>
      <x:c r="J39" s="4"/>
    </x:row>
    <x:row r="40" ht="23" customHeight="1">
      <x:c r="A40" s="4"/>
      <x:c r="B40" s="6" t="str">
        <x:v>Revenue per vehicle</x:v>
      </x:c>
      <x:c r="C40" s="6" t="str">
        <x:v>N/D</x:v>
      </x:c>
      <x:c r="D40" s="6" t="str">
        <x:v>N/D</x:v>
      </x:c>
      <x:c r="E40" s="6" t="str">
        <x:v>N/D</x:v>
      </x:c>
      <x:c r="F40" s="6" t="str">
        <x:v>N/D</x:v>
      </x:c>
      <x:c r="G40" s="6" t="str">
        <x:v>N/D</x:v>
      </x:c>
      <x:c r="H40" s="6" t="str">
        <x:v>Not disclosed</x:v>
      </x:c>
      <x:c r="I40" s="4"/>
      <x:c r="J40" s="4"/>
    </x:row>
    <x:row r="41" ht="23" customHeight="1">
      <x:c r="A41" s="4"/>
      <x:c r="B41" s="6" t="str">
        <x:v>Land cash purchases</x:v>
      </x:c>
      <x:c r="C41" s="6" t="str">
        <x:v>N/D</x:v>
      </x:c>
      <x:c r="D41" s="6" t="str">
        <x:v>N/D</x:v>
      </x:c>
      <x:c r="E41" s="6" t="str">
        <x:v>N/D</x:v>
      </x:c>
      <x:c r="F41" s="6" t="str">
        <x:v>N/D</x:v>
      </x:c>
      <x:c r="G41" s="6" t="str">
        <x:v>N/D</x:v>
      </x:c>
      <x:c r="H41" s="6" t="str">
        <x:v>Not separately disclosed</x:v>
      </x:c>
      <x:c r="I41" s="4"/>
      <x:c r="J41" s="4"/>
    </x:row>
    <x:row r="42" ht="23" customHeight="1">
      <x:c r="A42" s="4"/>
      <x:c r="B42" s="4"/>
      <x:c r="C42" s="4"/>
      <x:c r="D42" s="4"/>
      <x:c r="E42" s="4"/>
      <x:c r="F42" s="4"/>
      <x:c r="G42" s="4"/>
      <x:c r="H42" s="4"/>
      <x:c r="I42" s="4"/>
      <x:c r="J42" s="4"/>
    </x:row>
    <x:row r="43" ht="23" customHeight="1">
      <x:c r="A43" s="4"/>
      <x:c r="B43" s="4"/>
      <x:c r="C43" s="4"/>
      <x:c r="D43" s="4"/>
      <x:c r="E43" s="4"/>
      <x:c r="F43" s="4"/>
      <x:c r="G43" s="4"/>
      <x:c r="H43" s="4"/>
      <x:c r="I43" s="4"/>
      <x:c r="J43" s="4"/>
    </x:row>
    <x:row r="44" ht="23" customHeight="1">
      <x:c r="A44" s="4"/>
      <x:c r="B44" s="4"/>
      <x:c r="C44" s="4"/>
      <x:c r="D44" s="4"/>
      <x:c r="E44" s="4"/>
      <x:c r="F44" s="4"/>
      <x:c r="G44" s="4"/>
      <x:c r="H44" s="4"/>
      <x:c r="I44" s="4"/>
      <x:c r="J44" s="4"/>
    </x:row>
  </x:sheetData>
  <x:pageMargins left="0.7" right="0.7" top="0.75" bottom="0.75" header="0.3" footer="0.3"/>
</x:worksheet>
</file>

<file path=xl/worksheets/sheet10.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s>
  <x:sheetData>
    <x:row r="1" ht="31" customHeight="1">
      <x:c r="A1" s="6"/>
      <x:c r="B1" s="19" t="str">
        <x:v>Historical KPI Table</x:v>
      </x:c>
      <x:c r="C1" s="19"/>
      <x:c r="D1" s="19"/>
      <x:c r="E1" s="19"/>
      <x:c r="F1" s="19"/>
      <x:c r="G1" s="19"/>
    </x:row>
    <x:row r="2" ht="34" customHeight="1">
      <x:c r="A2" s="7"/>
      <x:c r="B2" s="23" t="str">
        <x:v>Fiscal year ends 31 July. N/D means annual vehicle counts or revenue per vehicle were not disclosed.</x:v>
      </x:c>
      <x:c r="C2" s="23"/>
      <x:c r="D2" s="23"/>
      <x:c r="E2" s="23"/>
      <x:c r="F2" s="23"/>
      <x:c r="G2" s="23"/>
    </x:row>
    <x:row r="3" ht="23" customHeight="1">
      <x:c r="A3" s="4"/>
      <x:c r="B3" s="4"/>
      <x:c r="C3" s="4"/>
      <x:c r="D3" s="4"/>
      <x:c r="E3" s="4"/>
      <x:c r="F3" s="4"/>
      <x:c r="G3" s="4"/>
    </x:row>
    <x:row r="4" ht="28" customHeight="1">
      <x:c r="A4" s="4"/>
      <x:c r="B4" s="7" t="str">
        <x:v>Growth, Margin &amp; Cash-Conversion Trends</x:v>
      </x:c>
      <x:c r="C4" s="4"/>
      <x:c r="D4" s="4"/>
      <x:c r="E4" s="4"/>
      <x:c r="F4" s="4"/>
      <x:c r="G4" s="4"/>
    </x:row>
    <x:row r="5" ht="34" customHeight="1">
      <x:c r="A5" s="4"/>
      <x:c r="B5" s="34" t="str">
        <x:v>Metric</x:v>
      </x:c>
      <x:c r="C5" s="34" t="str">
        <x:v>FY2021A</x:v>
      </x:c>
      <x:c r="D5" s="34" t="str">
        <x:v>FY2022A</x:v>
      </x:c>
      <x:c r="E5" s="34" t="str">
        <x:v>FY2023A</x:v>
      </x:c>
      <x:c r="F5" s="34" t="str">
        <x:v>FY2024A</x:v>
      </x:c>
      <x:c r="G5" s="34" t="str">
        <x:v>FY2025A</x:v>
      </x:c>
    </x:row>
    <x:row r="6" ht="23" customHeight="1">
      <x:c r="A6" s="4"/>
      <x:c r="B6" s="6" t="str">
        <x:v>Revenue growth</x:v>
      </x:c>
      <x:c r="C6" s="125" t="str">
        <x:v>N/M</x:v>
      </x:c>
      <x:c r="D6" s="143" t="n">
        <x:f>'Historical'!D6/'Historical'!C6-1</x:f>
        <x:v>0.3002438987250191</x:v>
      </x:c>
      <x:c r="E6" s="143" t="n">
        <x:f>'Historical'!E6/'Historical'!D6-1</x:f>
        <x:v>0.10528572338536057</x:v>
      </x:c>
      <x:c r="F6" s="143" t="n">
        <x:f>'Historical'!F6/'Historical'!E6-1</x:f>
        <x:v>0.09492267512387853</x:v>
      </x:c>
      <x:c r="G6" s="143" t="n">
        <x:f>'Historical'!G6/'Historical'!F6-1</x:f>
        <x:v>0.09680248620251519</x:v>
      </x:c>
    </x:row>
    <x:row r="7" ht="23" customHeight="1">
      <x:c r="A7" s="4"/>
      <x:c r="B7" s="6" t="str">
        <x:v>Service-revenue growth</x:v>
      </x:c>
      <x:c r="C7" s="125" t="str">
        <x:v>N/M</x:v>
      </x:c>
      <x:c r="D7" s="143" t="n">
        <x:f>'Historical'!D7/'Historical'!C7-1</x:f>
        <x:v>0.24485408621006366</x:v>
      </x:c>
      <x:c r="E7" s="143" t="n">
        <x:f>'Historical'!E7/'Historical'!D7-1</x:f>
        <x:v>0.12095449064857133</x:v>
      </x:c>
      <x:c r="F7" s="143" t="n">
        <x:f>'Historical'!F7/'Historical'!E7-1</x:f>
        <x:v>0.11346450173351408</x:v>
      </x:c>
      <x:c r="G7" s="143" t="n">
        <x:f>'Historical'!G7/'Historical'!F7-1</x:f>
        <x:v>0.11447901461442589</x:v>
      </x:c>
    </x:row>
    <x:row r="8" ht="23" customHeight="1">
      <x:c r="A8" s="4"/>
      <x:c r="B8" s="6" t="str">
        <x:v>Owned-vehicle-sales growth</x:v>
      </x:c>
      <x:c r="C8" s="125" t="str">
        <x:v>N/M</x:v>
      </x:c>
      <x:c r="D8" s="143" t="n">
        <x:f>'Historical'!D8/'Historical'!C8-1</x:f>
        <x:v>0.6170989706572418</x:v>
      </x:c>
      <x:c r="E8" s="143" t="n">
        <x:f>'Historical'!E8/'Historical'!D8-1</x:f>
        <x:v>0.03628598461754562</x:v>
      </x:c>
      <x:c r="F8" s="143" t="n">
        <x:f>'Historical'!F8/'Historical'!E8-1</x:f>
        <x:v>0.00659974083617576</x:v>
      </x:c>
      <x:c r="G8" s="143" t="n">
        <x:f>'Historical'!G8/'Historical'!F8-1</x:f>
        <x:v>0.0036622123313718724</x:v>
      </x:c>
    </x:row>
    <x:row r="9" ht="23" customHeight="1">
      <x:c r="A9" s="4"/>
      <x:c r="B9" s="6" t="str">
        <x:v>Vehicle-volume growth</x:v>
      </x:c>
      <x:c r="C9" s="6" t="str">
        <x:v>N/D</x:v>
      </x:c>
      <x:c r="D9" s="6" t="str">
        <x:v>N/D</x:v>
      </x:c>
      <x:c r="E9" s="6" t="str">
        <x:v>N/D</x:v>
      </x:c>
      <x:c r="F9" s="6" t="str">
        <x:v>N/D</x:v>
      </x:c>
      <x:c r="G9" s="6" t="str">
        <x:v>N/D</x:v>
      </x:c>
    </x:row>
    <x:row r="10" ht="23" customHeight="1">
      <x:c r="A10" s="4"/>
      <x:c r="B10" s="6" t="str">
        <x:v>Revenue-per-vehicle growth</x:v>
      </x:c>
      <x:c r="C10" s="6" t="str">
        <x:v>N/D</x:v>
      </x:c>
      <x:c r="D10" s="6" t="str">
        <x:v>N/D</x:v>
      </x:c>
      <x:c r="E10" s="6" t="str">
        <x:v>N/D</x:v>
      </x:c>
      <x:c r="F10" s="6" t="str">
        <x:v>N/D</x:v>
      </x:c>
      <x:c r="G10" s="6" t="str">
        <x:v>N/D</x:v>
      </x:c>
    </x:row>
    <x:row r="11" ht="28" customHeight="1">
      <x:c r="A11" s="4"/>
      <x:c r="B11" s="7" t="str">
        <x:v>Revenue growth less service revenue growth</x:v>
      </x:c>
      <x:c r="C11" s="125" t="str">
        <x:v>N/M</x:v>
      </x:c>
      <x:c r="D11" s="127" t="n">
        <x:f>D6-D7</x:f>
        <x:v>0.05538981251495545</x:v>
      </x:c>
      <x:c r="E11" s="127" t="n">
        <x:f>E6-E7</x:f>
        <x:v>-0.01566876726321076</x:v>
      </x:c>
      <x:c r="F11" s="127" t="n">
        <x:f>F6-F7</x:f>
        <x:v>-0.018541826609635548</x:v>
      </x:c>
      <x:c r="G11" s="127" t="n">
        <x:f>G6-G7</x:f>
        <x:v>-0.017676528411910697</x:v>
      </x:c>
    </x:row>
    <x:row r="12" ht="23" customHeight="1">
      <x:c r="A12" s="4"/>
      <x:c r="B12" s="6" t="str">
        <x:v>Gross margin</x:v>
      </x:c>
      <x:c r="C12" s="143" t="n">
        <x:f>'Historical'!C17</x:f>
        <x:v>0.498824703037425</x:v>
      </x:c>
      <x:c r="D12" s="143" t="n">
        <x:f>'Historical'!D17</x:f>
        <x:v>0.4587995558882934</x:v>
      </x:c>
      <x:c r="E12" s="143" t="n">
        <x:f>'Historical'!E17</x:f>
        <x:v>0.44889079208314836</x:v>
      </x:c>
      <x:c r="F12" s="143" t="n">
        <x:f>'Historical'!F17</x:f>
        <x:v>0.4501608870608945</x:v>
      </x:c>
      <x:c r="G12" s="143" t="n">
        <x:f>'Historical'!G17</x:f>
        <x:v>0.45183171442479136</x:v>
      </x:c>
    </x:row>
    <x:row r="13" ht="23" customHeight="1">
      <x:c r="A13" s="4"/>
      <x:c r="B13" s="6" t="str">
        <x:v>Operating margin</x:v>
      </x:c>
      <x:c r="C13" s="143" t="n">
        <x:f>'Historical'!C19</x:f>
        <x:v>0.42206921345910936</x:v>
      </x:c>
      <x:c r="D13" s="143" t="n">
        <x:f>'Historical'!D19</x:f>
        <x:v>0.3927529355846648</x:v>
      </x:c>
      <x:c r="E13" s="143" t="n">
        <x:f>'Historical'!E19</x:f>
        <x:v>0.38417420464254204</x:v>
      </x:c>
      <x:c r="F13" s="143" t="n">
        <x:f>'Historical'!F19</x:f>
        <x:v>0.3710381576006361</x:v>
      </x:c>
      <x:c r="G13" s="143" t="n">
        <x:f>'Historical'!G19</x:f>
        <x:v>0.36512359268149186</x:v>
      </x:c>
    </x:row>
    <x:row r="14" ht="23" customHeight="1">
      <x:c r="A14" s="4"/>
      <x:c r="B14" s="6" t="str">
        <x:v>Capex / revenue (PP&amp;E purchases)</x:v>
      </x:c>
      <x:c r="C14" s="143" t="n">
        <x:f>'Historical'!C23/'Historical'!C6</x:f>
        <x:v>0.1719569576503123</x:v>
      </x:c>
      <x:c r="D14" s="143" t="n">
        <x:f>'Historical'!D23/'Historical'!D6</x:f>
        <x:v>0.09638835037980006</x:v>
      </x:c>
      <x:c r="E14" s="143" t="n">
        <x:f>'Historical'!E23/'Historical'!E6</x:f>
        <x:v>0.13351430333183614</x:v>
      </x:c>
      <x:c r="F14" s="143" t="n">
        <x:f>'Historical'!F23/'Historical'!F6</x:f>
        <x:v>0.12060687925834994</x:v>
      </x:c>
      <x:c r="G14" s="143" t="n">
        <x:f>'Historical'!G23/'Historical'!G6</x:f>
        <x:v>0.1224435426358491</x:v>
      </x:c>
    </x:row>
    <x:row r="15" ht="28" customHeight="1">
      <x:c r="A15" s="4"/>
      <x:c r="B15" s="7" t="str">
        <x:v>FCF conversion = CFO − PP&amp;E / net income</x:v>
      </x:c>
      <x:c r="C15" s="143" t="n">
        <x:f>'Historical'!C26/'Historical'!C20</x:f>
        <x:v>0.563692278122147</x:v>
      </x:c>
      <x:c r="D15" s="143" t="n">
        <x:f>'Historical'!D26/'Historical'!D20</x:f>
        <x:v>0.7698485501729151</x:v>
      </x:c>
      <x:c r="E15" s="143" t="n">
        <x:f>'Historical'!E26/'Historical'!E20</x:f>
        <x:v>0.6847749246409387</x:v>
      </x:c>
      <x:c r="F15" s="143" t="n">
        <x:f>'Historical'!F26/'Historical'!F20</x:f>
        <x:v>0.7054731405261846</x:v>
      </x:c>
      <x:c r="G15" s="143" t="n">
        <x:f>'Historical'!G26/'Historical'!G20</x:f>
        <x:v>0.7927861076273681</x:v>
      </x:c>
    </x:row>
    <x:row r="16" ht="23" customHeight="1">
      <x:c r="A16" s="4"/>
      <x:c r="B16" s="6" t="str">
        <x:v>Insurance-sourced vehicle share</x:v>
      </x:c>
      <x:c r="C16" s="143" t="str">
        <x:f>'Historical'!C38</x:f>
        <x:v>N/D</x:v>
      </x:c>
      <x:c r="D16" s="143" t="str">
        <x:f>'Historical'!D38</x:f>
        <x:v>N/D</x:v>
      </x:c>
      <x:c r="E16" s="143" t="n">
        <x:f>'Historical'!E38</x:f>
        <x:v>0.83</x:v>
      </x:c>
      <x:c r="F16" s="143" t="n">
        <x:f>'Historical'!F38</x:f>
        <x:v>0.81</x:v>
      </x:c>
      <x:c r="G16" s="143" t="n">
        <x:f>'Historical'!G38</x:f>
        <x:v>0.81</x:v>
      </x:c>
    </x:row>
    <x:row r="17" ht="23" customHeight="1">
      <x:c r="A17" s="4"/>
      <x:c r="B17" s="6" t="str">
        <x:v>U.S. service-revenue growth</x:v>
      </x:c>
      <x:c r="C17" s="125" t="str">
        <x:v>N/M</x:v>
      </x:c>
      <x:c r="D17" s="143" t="n">
        <x:f>'Historical'!D9/'Historical'!C9-1</x:f>
        <x:v>0.2555935452916078</x:v>
      </x:c>
      <x:c r="E17" s="143" t="n">
        <x:f>'Historical'!E9/'Historical'!D9-1</x:f>
        <x:v>0.12177493372914916</x:v>
      </x:c>
      <x:c r="F17" s="143" t="n">
        <x:f>'Historical'!F9/'Historical'!E9-1</x:f>
        <x:v>0.10010448188212373</x:v>
      </x:c>
      <x:c r="G17" s="143" t="n">
        <x:f>'Historical'!G9/'Historical'!F9-1</x:f>
        <x:v>0.10410920692926862</x:v>
      </x:c>
    </x:row>
    <x:row r="18" ht="28" customHeight="1">
      <x:c r="A18" s="4"/>
      <x:c r="B18" s="7" t="str">
        <x:v>International service-revenue growth</x:v>
      </x:c>
      <x:c r="C18" s="125" t="str">
        <x:v>N/M</x:v>
      </x:c>
      <x:c r="D18" s="143" t="n">
        <x:f>'Historical'!D10/'Historical'!C10-1</x:f>
        <x:v>0.16588242583730306</x:v>
      </x:c>
      <x:c r="E18" s="143" t="n">
        <x:f>'Historical'!E10/'Historical'!D10-1</x:f>
        <x:v>0.11445720984759689</x:v>
      </x:c>
      <x:c r="F18" s="143" t="n">
        <x:f>'Historical'!F10/'Historical'!E10-1</x:f>
        <x:v>0.21996033515948676</x:v>
      </x:c>
      <x:c r="G18" s="143" t="n">
        <x:f>'Historical'!G10/'Historical'!F10-1</x:f>
        <x:v>0.18901816509542435</x:v>
      </x:c>
    </x:row>
    <x:row r="19" ht="23" customHeight="1">
      <x:c r="A19" s="4"/>
      <x:c r="B19" s="4"/>
      <x:c r="C19" s="4"/>
      <x:c r="D19" s="4"/>
      <x:c r="E19" s="4"/>
      <x:c r="F19" s="4"/>
      <x:c r="G19" s="4"/>
    </x:row>
    <x:row r="20" ht="23" customHeight="1">
      <x:c r="A20" s="4"/>
      <x:c r="B20" s="4"/>
      <x:c r="C20" s="4"/>
      <x:c r="D20" s="4"/>
      <x:c r="E20" s="4"/>
      <x:c r="F20" s="4"/>
      <x:c r="G20" s="4"/>
    </x:row>
    <x:row r="21" ht="28" customHeight="1">
      <x:c r="A21" s="4"/>
      <x:c r="B21" s="7" t="str">
        <x:v>How to Read the Missing Unit Metrics</x:v>
      </x:c>
      <x:c r="C21" s="4"/>
      <x:c r="D21" s="4"/>
      <x:c r="E21" s="4"/>
      <x:c r="F21" s="4"/>
      <x:c r="G21" s="4"/>
    </x:row>
    <x:row r="22" ht="24" customHeight="1">
      <x:c r="A22" s="4"/>
      <x:c r="B22" s="38" t="str">
        <x:v>Copart reports service revenue, vehicle sales and the insurer share of processed vehicles. Annual vehicle counts and revenue</x:v>
      </x:c>
      <x:c r="C22" s="23"/>
      <x:c r="D22" s="23"/>
      <x:c r="E22" s="23"/>
      <x:c r="F22" s="23"/>
      <x:c r="G22" s="23"/>
    </x:row>
    <x:row r="23" ht="24" customHeight="1">
      <x:c r="A23" s="4"/>
      <x:c r="B23" s="39" t="str">
        <x:v>per vehicle are unavailable. Both forecast indexes start at 100 in FY2026E. Assumed growth rates determine future service</x:v>
      </x:c>
      <x:c r="C23" s="4"/>
      <x:c r="D23" s="4"/>
      <x:c r="E23" s="4"/>
      <x:c r="F23" s="4"/>
      <x:c r="G23" s="4"/>
    </x:row>
    <x:row r="24" ht="24" customHeight="1">
      <x:c r="A24" s="4"/>
      <x:c r="B24" s="39" t="str">
        <x:v>revenue. These indexes are model estimates.</x:v>
      </x:c>
      <x:c r="C24" s="4"/>
      <x:c r="D24" s="4"/>
      <x:c r="E24" s="4"/>
      <x:c r="F24" s="4"/>
      <x:c r="G24" s="4"/>
    </x:row>
    <x:row r="25" ht="23" customHeight="1">
      <x:c r="A25" s="4"/>
      <x:c r="B25" s="4"/>
      <x:c r="C25" s="4"/>
      <x:c r="D25" s="4"/>
      <x:c r="E25" s="4"/>
      <x:c r="F25" s="4"/>
      <x:c r="G25" s="4"/>
    </x:row>
    <x:row r="26" ht="23" customHeight="1">
      <x:c r="A26" s="4"/>
      <x:c r="B26" s="4"/>
      <x:c r="C26" s="4"/>
      <x:c r="D26" s="4"/>
      <x:c r="E26" s="4"/>
      <x:c r="F26" s="4"/>
      <x:c r="G26" s="4"/>
    </x:row>
    <x:row r="27" ht="23" customHeight="1">
      <x:c r="A27" s="4"/>
      <x:c r="B27" s="4"/>
      <x:c r="C27" s="4"/>
      <x:c r="D27" s="4"/>
      <x:c r="E27" s="4"/>
      <x:c r="F27" s="4"/>
      <x:c r="G27" s="4"/>
    </x:row>
    <x:row r="28" ht="23" customHeight="1">
      <x:c r="A28" s="4"/>
      <x:c r="B28" s="4"/>
      <x:c r="C28" s="4"/>
      <x:c r="D28" s="4"/>
      <x:c r="E28" s="4"/>
      <x:c r="F28" s="4"/>
      <x:c r="G28" s="4"/>
    </x:row>
    <x:row r="29" ht="23" customHeight="1">
      <x:c r="A29" s="4"/>
      <x:c r="B29" s="4"/>
      <x:c r="C29" s="4"/>
      <x:c r="D29" s="4"/>
      <x:c r="E29" s="4"/>
      <x:c r="F29" s="4"/>
      <x:c r="G29" s="4"/>
    </x:row>
    <x:row r="30" ht="23" customHeight="1">
      <x:c r="A30" s="4"/>
      <x:c r="B30" s="4"/>
      <x:c r="C30" s="4"/>
      <x:c r="D30" s="4"/>
      <x:c r="E30" s="4"/>
      <x:c r="F30" s="4"/>
      <x:c r="G30" s="4"/>
    </x:row>
  </x:sheetData>
  <x:pageMargins left="0.7" right="0.7" top="0.75" bottom="0.75" header="0.3" footer="0.3"/>
</x:worksheet>
</file>

<file path=xl/worksheets/sheet11.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s>
  <x:sheetData>
    <x:row r="1" ht="31" customHeight="1">
      <x:c r="A1" s="6"/>
      <x:c r="B1" s="19" t="str">
        <x:v>Comparable Companies</x:v>
      </x:c>
      <x:c r="C1" s="19"/>
      <x:c r="D1" s="19"/>
      <x:c r="E1" s="19"/>
      <x:c r="F1" s="19"/>
      <x:c r="G1" s="19"/>
      <x:c r="H1" s="19"/>
      <x:c r="I1" s="19"/>
      <x:c r="J1" s="19"/>
      <x:c r="K1" s="19"/>
      <x:c r="L1" s="19"/>
      <x:c r="M1" s="19"/>
      <x:c r="N1" s="19"/>
      <x:c r="O1" s="19"/>
      <x:c r="P1" s="19"/>
    </x:row>
    <x:row r="2" ht="34" customHeight="1">
      <x:c r="A2" s="7"/>
      <x:c r="B2" s="23" t="str">
        <x:v>Operating peer context. N/V marks trading inputs not verified at the 5 August 2026 cutoff.</x:v>
      </x:c>
      <x:c r="C2" s="23"/>
      <x:c r="D2" s="23"/>
      <x:c r="E2" s="23"/>
      <x:c r="F2" s="23"/>
      <x:c r="G2" s="23"/>
      <x:c r="H2" s="23"/>
      <x:c r="I2" s="23"/>
      <x:c r="J2" s="23"/>
      <x:c r="K2" s="23"/>
      <x:c r="L2" s="23"/>
      <x:c r="M2" s="23"/>
      <x:c r="N2" s="23"/>
      <x:c r="O2" s="23"/>
      <x:c r="P2" s="23"/>
    </x:row>
    <x:row r="3" ht="23" customHeight="1">
      <x:c r="A3" s="4"/>
      <x:c r="B3" s="4"/>
      <x:c r="C3" s="4"/>
      <x:c r="D3" s="4"/>
      <x:c r="E3" s="4"/>
      <x:c r="F3" s="4"/>
      <x:c r="G3" s="4"/>
      <x:c r="H3" s="4"/>
      <x:c r="I3" s="4"/>
      <x:c r="J3" s="4"/>
      <x:c r="K3" s="4"/>
      <x:c r="L3" s="4"/>
      <x:c r="M3" s="4"/>
      <x:c r="N3" s="4"/>
      <x:c r="O3" s="4"/>
      <x:c r="P3" s="4"/>
    </x:row>
    <x:row r="4" ht="23" customHeight="1">
      <x:c r="A4" s="4"/>
      <x:c r="B4" s="6" t="str">
        <x:v>Selected Trading Metrics</x:v>
      </x:c>
      <x:c r="C4" s="4"/>
      <x:c r="D4" s="4"/>
      <x:c r="E4" s="4"/>
      <x:c r="F4" s="4"/>
      <x:c r="G4" s="4"/>
      <x:c r="H4" s="4"/>
      <x:c r="I4" s="4"/>
      <x:c r="J4" s="4"/>
      <x:c r="K4" s="4"/>
      <x:c r="L4" s="4"/>
      <x:c r="M4" s="4"/>
      <x:c r="N4" s="4"/>
      <x:c r="O4" s="4"/>
      <x:c r="P4" s="4"/>
    </x:row>
    <x:row r="5" ht="34" customHeight="1">
      <x:c r="A5" s="4"/>
      <x:c r="B5" s="34" t="str">
        <x:v>Company</x:v>
      </x:c>
      <x:c r="C5" s="34" t="str">
        <x:v>Ticker</x:v>
      </x:c>
      <x:c r="D5" s="34" t="str">
        <x:v>Market cap</x:v>
      </x:c>
      <x:c r="E5" s="34" t="str">
        <x:v>Net debt</x:v>
      </x:c>
      <x:c r="F5" s="34" t="str">
        <x:v>EV</x:v>
      </x:c>
      <x:c r="G5" s="34" t="str">
        <x:v>Revenue</x:v>
      </x:c>
      <x:c r="H5" s="34" t="str">
        <x:v>Revenue growth</x:v>
      </x:c>
      <x:c r="I5" s="34" t="str">
        <x:v>EBITDA</x:v>
      </x:c>
      <x:c r="J5" s="34" t="str">
        <x:v>EBITDA margin</x:v>
      </x:c>
      <x:c r="K5" s="34" t="str">
        <x:v>FCF margin</x:v>
      </x:c>
      <x:c r="L5" s="34" t="str">
        <x:v>EV / Revenue</x:v>
      </x:c>
      <x:c r="M5" s="34" t="str">
        <x:v>EV / EBITDA</x:v>
      </x:c>
      <x:c r="N5" s="34" t="str">
        <x:v>P / E</x:v>
      </x:c>
      <x:c r="O5" s="34" t="str">
        <x:v>Net debt / EBITDA</x:v>
      </x:c>
      <x:c r="P5" s="34" t="str">
        <x:v>Business-model caveat</x:v>
      </x:c>
    </x:row>
    <x:row r="6" ht="72" customHeight="1">
      <x:c r="A6" s="4"/>
      <x:c r="B6" s="6" t="str">
        <x:v>Copart</x:v>
      </x:c>
      <x:c r="C6" s="6" t="str">
        <x:v>CPRT</x:v>
      </x:c>
      <x:c r="D6" s="124" t="n">
        <x:f>'WACC'!C10</x:f>
        <x:v>26765.209944619997</x:v>
      </x:c>
      <x:c r="E6" s="124" t="n">
        <x:f>'Assumptions'!C9+'Assumptions'!G15-'Assumptions'!C7</x:f>
        <x:v>-3510.4700000000003</x:v>
      </x:c>
      <x:c r="F6" s="124" t="n">
        <x:f>D6+E6+'Assumptions'!G14</x:f>
        <x:v>23271.920944619997</x:v>
      </x:c>
      <x:c r="G6" s="124" t="n">
        <x:f>'Historical'!G6+'Assumptions'!C16+'Assumptions'!C18+'Assumptions'!C20-'Assumptions'!C17-'Assumptions'!C19-'Assumptions'!C21</x:f>
        <x:v>4638.867</x:v>
      </x:c>
      <x:c r="H6" s="91" t="n">
        <x:v>-0.002</x:v>
      </x:c>
      <x:c r="I6" s="124" t="n">
        <x:f>'Historical'!G18+'Assumptions'!C25-'Assumptions'!C26+'Historical'!G22+'Assumptions'!C27-'Assumptions'!C28</x:f>
        <x:v>1919.2179999999996</x:v>
      </x:c>
      <x:c r="J6" s="137" t="n">
        <x:f>I6/G6</x:f>
        <x:v>0.4137255929087856</x:v>
      </x:c>
      <x:c r="K6" s="91" t="n">
        <x:v>0.289</x:v>
      </x:c>
      <x:c r="L6" s="155" t="n">
        <x:f>F6/G6</x:f>
        <x:v>5.016725192729172</x:v>
      </x:c>
      <x:c r="M6" s="155" t="n">
        <x:f>F6/I6</x:f>
        <x:v>12.125730867790944</x:v>
      </x:c>
      <x:c r="N6" s="106" t="n">
        <x:v>18.015</x:v>
      </x:c>
      <x:c r="O6" s="155" t="n">
        <x:f>E6/I6</x:f>
        <x:v>-1.8291147748718493</x:v>
      </x:c>
      <x:c r="P6" s="7" t="str">
        <x:v>Revenue and EBIT plus D&amp;A cover the twelve months to 30 April 2026. Cash excludes unclassified/restricted amounts; EV includes the minority claim. Growth is the rounded nine-month comparison.</x:v>
      </x:c>
    </x:row>
    <x:row r="7" ht="28" customHeight="1">
      <x:c r="A7" s="4"/>
      <x:c r="B7" s="6" t="str">
        <x:v>RB Global</x:v>
      </x:c>
      <x:c r="C7" s="6" t="str">
        <x:v>RBA</x:v>
      </x:c>
      <x:c r="D7" s="46" t="str">
        <x:v>N/V</x:v>
      </x:c>
      <x:c r="E7" s="93" t="n">
        <x:v>2379.2</x:v>
      </x:c>
      <x:c r="F7" s="100" t="str">
        <x:f>IFERROR(D7+E7,"N/V")</x:f>
        <x:v>N/V</x:v>
      </x:c>
      <x:c r="G7" s="93" t="n">
        <x:v>4847.8</x:v>
      </x:c>
      <x:c r="H7" s="91" t="n">
        <x:v>0.11</x:v>
      </x:c>
      <x:c r="I7" s="93" t="n">
        <x:v>1282.5</x:v>
      </x:c>
      <x:c r="J7" s="91" t="n">
        <x:v>0.2646</x:v>
      </x:c>
      <x:c r="K7" s="70" t="str">
        <x:v>N/M</x:v>
      </x:c>
      <x:c r="L7" s="155" t="str">
        <x:f>IFERROR(F7/G7,"N/V")</x:f>
        <x:v>N/V</x:v>
      </x:c>
      <x:c r="M7" s="155" t="str">
        <x:f>IFERROR(F7/I7,"N/V")</x:f>
        <x:v>N/V</x:v>
      </x:c>
      <x:c r="N7" s="156" t="str">
        <x:v>N/V</x:v>
      </x:c>
      <x:c r="O7" s="155" t="n">
        <x:f>E7/I7</x:f>
        <x:v>1.8551267056530214</x:v>
      </x:c>
      <x:c r="P7" s="7" t="str">
        <x:v>Owns IAA, plus heavy-equipment and transport auctions. Substantial debt</x:v>
      </x:c>
    </x:row>
    <x:row r="8" ht="28" customHeight="1">
      <x:c r="A8" s="4"/>
      <x:c r="B8" s="6" t="str">
        <x:v>OPENLANE</x:v>
      </x:c>
      <x:c r="C8" s="6" t="str">
        <x:v>OPLN / KAR</x:v>
      </x:c>
      <x:c r="D8" s="46" t="str">
        <x:v>N/V</x:v>
      </x:c>
      <x:c r="E8" s="93" t="n">
        <x:v>345</x:v>
      </x:c>
      <x:c r="F8" s="100" t="str">
        <x:f>IFERROR(D8+E8,"N/V")</x:f>
        <x:v>N/V</x:v>
      </x:c>
      <x:c r="G8" s="93" t="n">
        <x:v>1935</x:v>
      </x:c>
      <x:c r="H8" s="91" t="n">
        <x:v>0.08</x:v>
      </x:c>
      <x:c r="I8" s="93" t="n">
        <x:v>333</x:v>
      </x:c>
      <x:c r="J8" s="91" t="n">
        <x:v>0.172</x:v>
      </x:c>
      <x:c r="K8" s="70" t="str">
        <x:v>N/M</x:v>
      </x:c>
      <x:c r="L8" s="155" t="str">
        <x:f>IFERROR(F8/G8,"N/V")</x:f>
        <x:v>N/V</x:v>
      </x:c>
      <x:c r="M8" s="155" t="str">
        <x:f>IFERROR(F8/I8,"N/V")</x:f>
        <x:v>N/V</x:v>
      </x:c>
      <x:c r="N8" s="156" t="str">
        <x:v>N/V</x:v>
      </x:c>
      <x:c r="O8" s="155" t="n">
        <x:f>E8/I8</x:f>
        <x:v>1.0360360360360361</x:v>
      </x:c>
      <x:c r="P8" s="7" t="str">
        <x:v>Dealer and commercial auctions, plus inventory finance with separate funding</x:v>
      </x:c>
    </x:row>
    <x:row r="9" ht="28" customHeight="1">
      <x:c r="A9" s="4"/>
      <x:c r="B9" s="6" t="str">
        <x:v>ACV Auctions</x:v>
      </x:c>
      <x:c r="C9" s="6" t="str">
        <x:v>ACVA</x:v>
      </x:c>
      <x:c r="D9" s="46" t="str">
        <x:v>N/V</x:v>
      </x:c>
      <x:c r="E9" s="93" t="n">
        <x:v>-140.97</x:v>
      </x:c>
      <x:c r="F9" s="100" t="str">
        <x:f>IFERROR(D9+E9,"N/V")</x:f>
        <x:v>N/V</x:v>
      </x:c>
      <x:c r="G9" s="93" t="n">
        <x:v>850</x:v>
      </x:c>
      <x:c r="H9" s="91" t="n">
        <x:v>0.12</x:v>
      </x:c>
      <x:c r="I9" s="93" t="n">
        <x:v>75</x:v>
      </x:c>
      <x:c r="J9" s="91" t="n">
        <x:v>0.088</x:v>
      </x:c>
      <x:c r="K9" s="70" t="str">
        <x:v>N/M</x:v>
      </x:c>
      <x:c r="L9" s="155" t="str">
        <x:f>IFERROR(F9/G9,"N/V")</x:f>
        <x:v>N/V</x:v>
      </x:c>
      <x:c r="M9" s="155" t="str">
        <x:f>IFERROR(F9/I9,"N/V")</x:f>
        <x:v>N/V</x:v>
      </x:c>
      <x:c r="N9" s="156" t="str">
        <x:v>N/V</x:v>
      </x:c>
      <x:c r="O9" s="155" t="n">
        <x:f>E9/I9</x:f>
        <x:v>-1.8796</x:v>
      </x:c>
      <x:c r="P9" s="7" t="str">
        <x:v>Online dealer auctions. FY2026 guidance shows a GAAP loss</x:v>
      </x:c>
    </x:row>
    <x:row r="10" ht="23" customHeight="1">
      <x:c r="A10" s="4"/>
      <x:c r="B10" s="4"/>
      <x:c r="C10" s="4"/>
      <x:c r="D10" s="4"/>
      <x:c r="E10" s="4"/>
      <x:c r="F10" s="4"/>
      <x:c r="G10" s="4"/>
      <x:c r="H10" s="4"/>
      <x:c r="I10" s="4"/>
      <x:c r="J10" s="4"/>
      <x:c r="K10" s="4"/>
      <x:c r="L10" s="4"/>
      <x:c r="M10" s="4"/>
      <x:c r="N10" s="4"/>
      <x:c r="O10" s="4"/>
      <x:c r="P10" s="4"/>
    </x:row>
    <x:row r="11" ht="23" customHeight="1">
      <x:c r="A11" s="4"/>
      <x:c r="B11" s="4"/>
      <x:c r="C11" s="4"/>
      <x:c r="D11" s="4"/>
      <x:c r="E11" s="4"/>
      <x:c r="F11" s="4"/>
      <x:c r="G11" s="4"/>
      <x:c r="H11" s="4"/>
      <x:c r="I11" s="4"/>
      <x:c r="J11" s="4"/>
      <x:c r="K11" s="4"/>
      <x:c r="L11" s="4"/>
      <x:c r="M11" s="4"/>
      <x:c r="N11" s="4"/>
      <x:c r="O11" s="4"/>
      <x:c r="P11" s="4"/>
    </x:row>
    <x:row r="12" ht="23" customHeight="1">
      <x:c r="A12" s="4"/>
      <x:c r="B12" s="6" t="str">
        <x:v>Interpretation</x:v>
      </x:c>
      <x:c r="C12" s="4"/>
      <x:c r="D12" s="4"/>
      <x:c r="E12" s="4"/>
      <x:c r="F12" s="4"/>
      <x:c r="G12" s="4"/>
      <x:c r="H12" s="4"/>
      <x:c r="I12" s="4"/>
      <x:c r="J12" s="4"/>
      <x:c r="K12" s="4"/>
      <x:c r="L12" s="4"/>
      <x:c r="M12" s="4"/>
      <x:c r="N12" s="4"/>
      <x:c r="O12" s="4"/>
      <x:c r="P12" s="4"/>
    </x:row>
    <x:row r="13" ht="24" customHeight="1">
      <x:c r="A13" s="4"/>
      <x:c r="B13" s="38" t="str">
        <x:v>Peer operating data provide context across different fiscal periods and EBITDA definitions. Unverified peer prices, market</x:v>
      </x:c>
      <x:c r="C13" s="23"/>
      <x:c r="D13" s="23"/>
      <x:c r="E13" s="23"/>
      <x:c r="F13" s="23"/>
      <x:c r="G13" s="23"/>
      <x:c r="H13" s="23"/>
      <x:c r="I13" s="23"/>
      <x:c r="J13" s="23"/>
      <x:c r="K13" s="23"/>
      <x:c r="L13" s="23"/>
      <x:c r="M13" s="23"/>
      <x:c r="N13" s="23"/>
      <x:c r="O13" s="23"/>
      <x:c r="P13" s="23"/>
    </x:row>
    <x:row r="14" ht="24" customHeight="1">
      <x:c r="A14" s="4"/>
      <x:c r="B14" s="39" t="str">
        <x:v>capitalizations, enterprise values and P/E ratios are N/V. They do not set this DCF or the analyst-selected exit multiple.</x:v>
      </x:c>
      <x:c r="C14" s="4"/>
      <x:c r="D14" s="4"/>
      <x:c r="E14" s="4"/>
      <x:c r="F14" s="4"/>
      <x:c r="G14" s="4"/>
      <x:c r="H14" s="4"/>
      <x:c r="I14" s="4"/>
      <x:c r="J14" s="4"/>
      <x:c r="K14" s="4"/>
      <x:c r="L14" s="4"/>
      <x:c r="M14" s="4"/>
      <x:c r="N14" s="4"/>
      <x:c r="O14" s="4"/>
      <x:c r="P14" s="4"/>
    </x:row>
    <x:row r="15" ht="23" customHeight="1">
      <x:c r="A15" s="4"/>
      <x:c r="B15" s="4"/>
      <x:c r="C15" s="4"/>
      <x:c r="D15" s="4"/>
      <x:c r="E15" s="4"/>
      <x:c r="F15" s="4"/>
      <x:c r="G15" s="4"/>
      <x:c r="H15" s="4"/>
      <x:c r="I15" s="4"/>
      <x:c r="J15" s="4"/>
      <x:c r="K15" s="4"/>
      <x:c r="L15" s="4"/>
      <x:c r="M15" s="4"/>
      <x:c r="N15" s="4"/>
      <x:c r="O15" s="4"/>
      <x:c r="P15" s="4"/>
    </x:row>
    <x:row r="16" ht="23" customHeight="1">
      <x:c r="A16" s="4"/>
      <x:c r="B16" s="4"/>
      <x:c r="C16" s="4"/>
      <x:c r="D16" s="4"/>
      <x:c r="E16" s="4"/>
      <x:c r="F16" s="4"/>
      <x:c r="G16" s="4"/>
      <x:c r="H16" s="4"/>
      <x:c r="I16" s="4"/>
      <x:c r="J16" s="4"/>
      <x:c r="K16" s="4"/>
      <x:c r="L16" s="4"/>
      <x:c r="M16" s="4"/>
      <x:c r="N16" s="4"/>
      <x:c r="O16" s="4"/>
      <x:c r="P16" s="4"/>
    </x:row>
    <x:row r="17" ht="23" customHeight="1">
      <x:c r="A17" s="4"/>
      <x:c r="B17" s="4"/>
      <x:c r="C17" s="4"/>
      <x:c r="D17" s="4"/>
      <x:c r="E17" s="4"/>
      <x:c r="F17" s="4"/>
      <x:c r="G17" s="4"/>
      <x:c r="H17" s="4"/>
      <x:c r="I17" s="4"/>
      <x:c r="J17" s="4"/>
      <x:c r="K17" s="4"/>
      <x:c r="L17" s="4"/>
      <x:c r="M17" s="4"/>
      <x:c r="N17" s="4"/>
      <x:c r="O17" s="4"/>
      <x:c r="P17" s="4"/>
    </x:row>
    <x:row r="18" ht="23" customHeight="1">
      <x:c r="A18" s="4"/>
      <x:c r="B18" s="4"/>
      <x:c r="C18" s="4"/>
      <x:c r="D18" s="4"/>
      <x:c r="E18" s="4"/>
      <x:c r="F18" s="4"/>
      <x:c r="G18" s="4"/>
      <x:c r="H18" s="4"/>
      <x:c r="I18" s="4"/>
      <x:c r="J18" s="4"/>
      <x:c r="K18" s="4"/>
      <x:c r="L18" s="4"/>
      <x:c r="M18" s="4"/>
      <x:c r="N18" s="4"/>
      <x:c r="O18" s="4"/>
      <x:c r="P18" s="4"/>
    </x:row>
    <x:row r="19" ht="23" customHeight="1">
      <x:c r="A19" s="4"/>
      <x:c r="B19" s="4"/>
      <x:c r="C19" s="4"/>
      <x:c r="D19" s="4"/>
      <x:c r="E19" s="4"/>
      <x:c r="F19" s="4"/>
      <x:c r="G19" s="4"/>
      <x:c r="H19" s="4"/>
      <x:c r="I19" s="4"/>
      <x:c r="J19" s="4"/>
      <x:c r="K19" s="4"/>
      <x:c r="L19" s="4"/>
      <x:c r="M19" s="4"/>
      <x:c r="N19" s="4"/>
      <x:c r="O19" s="4"/>
      <x:c r="P19" s="4"/>
    </x:row>
    <x:row r="20" ht="23" customHeight="1">
      <x:c r="A20" s="4"/>
      <x:c r="B20" s="4"/>
      <x:c r="C20" s="4"/>
      <x:c r="D20" s="4"/>
      <x:c r="E20" s="4"/>
      <x:c r="F20" s="4"/>
      <x:c r="G20" s="4"/>
      <x:c r="H20" s="4"/>
      <x:c r="I20" s="4"/>
      <x:c r="J20" s="4"/>
      <x:c r="K20" s="4"/>
      <x:c r="L20" s="4"/>
      <x:c r="M20" s="4"/>
      <x:c r="N20" s="4"/>
      <x:c r="O20" s="4"/>
      <x:c r="P20" s="4"/>
    </x:row>
    <x:row r="21" ht="23" customHeight="1">
      <x:c r="A21" s="4"/>
      <x:c r="B21" s="4"/>
      <x:c r="C21" s="4"/>
      <x:c r="D21" s="4"/>
      <x:c r="E21" s="4"/>
      <x:c r="F21" s="4"/>
      <x:c r="G21" s="4"/>
      <x:c r="H21" s="4"/>
      <x:c r="I21" s="4"/>
      <x:c r="J21" s="4"/>
      <x:c r="K21" s="4"/>
      <x:c r="L21" s="4"/>
      <x:c r="M21" s="4"/>
      <x:c r="N21" s="4"/>
      <x:c r="O21" s="4"/>
      <x:c r="P21" s="4"/>
    </x:row>
    <x:row r="22" ht="23" customHeight="1">
      <x:c r="A22" s="4"/>
      <x:c r="B22" s="4"/>
      <x:c r="C22" s="4"/>
      <x:c r="D22" s="4"/>
      <x:c r="E22" s="4"/>
      <x:c r="F22" s="4"/>
      <x:c r="G22" s="4"/>
      <x:c r="H22" s="4"/>
      <x:c r="I22" s="4"/>
      <x:c r="J22" s="4"/>
      <x:c r="K22" s="4"/>
      <x:c r="L22" s="4"/>
      <x:c r="M22" s="4"/>
      <x:c r="N22" s="4"/>
      <x:c r="O22" s="4"/>
      <x:c r="P22" s="4"/>
    </x:row>
    <x:row r="23" ht="23" customHeight="1">
      <x:c r="A23" s="4"/>
      <x:c r="B23" s="4"/>
      <x:c r="C23" s="4"/>
      <x:c r="D23" s="4"/>
      <x:c r="E23" s="4"/>
      <x:c r="F23" s="4"/>
      <x:c r="G23" s="4"/>
      <x:c r="H23" s="4"/>
      <x:c r="I23" s="4"/>
      <x:c r="J23" s="4"/>
      <x:c r="K23" s="4"/>
      <x:c r="L23" s="4"/>
      <x:c r="M23" s="4"/>
      <x:c r="N23" s="4"/>
      <x:c r="O23" s="4"/>
      <x:c r="P23" s="4"/>
    </x:row>
    <x:row r="24" ht="23" customHeight="1">
      <x:c r="A24" s="4"/>
      <x:c r="B24" s="4"/>
      <x:c r="C24" s="4"/>
      <x:c r="D24" s="4"/>
      <x:c r="E24" s="4"/>
      <x:c r="F24" s="4"/>
      <x:c r="G24" s="4"/>
      <x:c r="H24" s="4"/>
      <x:c r="I24" s="4"/>
      <x:c r="J24" s="4"/>
      <x:c r="K24" s="4"/>
      <x:c r="L24" s="4"/>
      <x:c r="M24" s="4"/>
      <x:c r="N24" s="4"/>
      <x:c r="O24" s="4"/>
      <x:c r="P24" s="4"/>
    </x:row>
    <x:row r="25" ht="23" customHeight="1">
      <x:c r="A25" s="4"/>
      <x:c r="B25" s="4"/>
      <x:c r="C25" s="4"/>
      <x:c r="D25" s="4"/>
      <x:c r="E25" s="4"/>
      <x:c r="F25" s="4"/>
      <x:c r="G25" s="4"/>
      <x:c r="H25" s="4"/>
      <x:c r="I25" s="4"/>
      <x:c r="J25" s="4"/>
      <x:c r="K25" s="4"/>
      <x:c r="L25" s="4"/>
      <x:c r="M25" s="4"/>
      <x:c r="N25" s="4"/>
      <x:c r="O25" s="4"/>
      <x:c r="P25" s="4"/>
    </x:row>
    <x:row r="26" ht="23" customHeight="1">
      <x:c r="A26" s="4"/>
      <x:c r="B26" s="4"/>
      <x:c r="C26" s="4"/>
      <x:c r="D26" s="4"/>
      <x:c r="E26" s="4"/>
      <x:c r="F26" s="4"/>
      <x:c r="G26" s="4"/>
      <x:c r="H26" s="4"/>
      <x:c r="I26" s="4"/>
      <x:c r="J26" s="4"/>
      <x:c r="K26" s="4"/>
      <x:c r="L26" s="4"/>
      <x:c r="M26" s="4"/>
      <x:c r="N26" s="4"/>
      <x:c r="O26" s="4"/>
      <x:c r="P26" s="4"/>
    </x:row>
    <x:row r="27" ht="23" customHeight="1">
      <x:c r="A27" s="4"/>
      <x:c r="B27" s="4"/>
      <x:c r="C27" s="4"/>
      <x:c r="D27" s="4"/>
      <x:c r="E27" s="4"/>
      <x:c r="F27" s="4"/>
      <x:c r="G27" s="4"/>
      <x:c r="H27" s="4"/>
      <x:c r="I27" s="4"/>
      <x:c r="J27" s="4"/>
      <x:c r="K27" s="4"/>
      <x:c r="L27" s="4"/>
      <x:c r="M27" s="4"/>
      <x:c r="N27" s="4"/>
      <x:c r="O27" s="4"/>
      <x:c r="P27" s="4"/>
    </x:row>
    <x:row r="28" ht="23" customHeight="1">
      <x:c r="A28" s="4"/>
      <x:c r="B28" s="4"/>
      <x:c r="C28" s="4"/>
      <x:c r="D28" s="4"/>
      <x:c r="E28" s="4"/>
      <x:c r="F28" s="4"/>
      <x:c r="G28" s="4"/>
      <x:c r="H28" s="4"/>
      <x:c r="I28" s="4"/>
      <x:c r="J28" s="4"/>
      <x:c r="K28" s="4"/>
      <x:c r="L28" s="4"/>
      <x:c r="M28" s="4"/>
      <x:c r="N28" s="4"/>
      <x:c r="O28" s="4"/>
      <x:c r="P28" s="4"/>
    </x:row>
    <x:row r="29" ht="23" customHeight="1">
      <x:c r="A29" s="4"/>
      <x:c r="B29" s="4"/>
      <x:c r="C29" s="4"/>
      <x:c r="D29" s="4"/>
      <x:c r="E29" s="4"/>
      <x:c r="F29" s="4"/>
      <x:c r="G29" s="4"/>
      <x:c r="H29" s="4"/>
      <x:c r="I29" s="4"/>
      <x:c r="J29" s="4"/>
      <x:c r="K29" s="4"/>
      <x:c r="L29" s="4"/>
      <x:c r="M29" s="4"/>
      <x:c r="N29" s="4"/>
      <x:c r="O29" s="4"/>
      <x:c r="P29" s="4"/>
    </x:row>
    <x:row r="30" ht="23" customHeight="1">
      <x:c r="A30" s="4"/>
      <x:c r="B30" s="4"/>
      <x:c r="C30" s="4"/>
      <x:c r="D30" s="4"/>
      <x:c r="E30" s="4"/>
      <x:c r="F30" s="4"/>
      <x:c r="G30" s="4"/>
      <x:c r="H30" s="4"/>
      <x:c r="I30" s="4"/>
      <x:c r="J30" s="4"/>
      <x:c r="K30" s="4"/>
      <x:c r="L30" s="4"/>
      <x:c r="M30" s="4"/>
      <x:c r="N30" s="4"/>
      <x:c r="O30" s="4"/>
      <x:c r="P30" s="4"/>
    </x:row>
  </x:sheetData>
  <x:pageMargins left="0.7" right="0.7" top="0.75" bottom="0.75" header="0.3" footer="0.3"/>
</x:worksheet>
</file>

<file path=xl/worksheets/sheet12.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8" hidden="0" customWidth="1"/>
    <x:col min="2" max="2" width="33" hidden="0" customWidth="1"/>
    <x:col min="3" max="3" width="19" hidden="0" customWidth="1"/>
    <x:col min="4" max="4" width="19" hidden="0" customWidth="1"/>
    <x:col min="5" max="5" width="19" hidden="0" customWidth="1"/>
    <x:col min="6" max="6" width="54" hidden="0" customWidth="1"/>
    <x:col min="7" max="7" width="52" hidden="0" customWidth="1"/>
    <x:col min="8" max="8" width="35" hidden="0" customWidth="1"/>
    <x:col min="9" max="9" width="35" hidden="0" customWidth="1"/>
  </x:cols>
  <x:sheetData>
    <x:row r="1" ht="31" customHeight="1">
      <x:c r="A1" s="146" t="str">
        <x:v>Assumption Notes</x:v>
      </x:c>
      <x:c r="B1" s="19"/>
      <x:c r="C1" s="19"/>
      <x:c r="D1" s="19"/>
      <x:c r="E1" s="19"/>
      <x:c r="F1" s="19"/>
      <x:c r="G1" s="19"/>
      <x:c r="H1" s="19"/>
      <x:c r="I1" s="19"/>
    </x:row>
    <x:row r="2" ht="34" customHeight="1">
      <x:c r="A2" s="38" t="str">
        <x:v>Key assumptions are labeled reported, calculated or estimated. Each includes a test.</x:v>
      </x:c>
      <x:c r="B2" s="23"/>
      <x:c r="C2" s="23"/>
      <x:c r="D2" s="23"/>
      <x:c r="E2" s="23"/>
      <x:c r="F2" s="23"/>
      <x:c r="G2" s="23"/>
      <x:c r="H2" s="23"/>
      <x:c r="I2" s="23"/>
    </x:row>
    <x:row r="3" ht="23" customHeight="1">
      <x:c r="A3" s="4"/>
      <x:c r="B3" s="4"/>
      <x:c r="C3" s="4"/>
      <x:c r="D3" s="4"/>
      <x:c r="E3" s="4"/>
      <x:c r="F3" s="4"/>
      <x:c r="G3" s="4"/>
      <x:c r="H3" s="4"/>
      <x:c r="I3" s="4"/>
    </x:row>
    <x:row r="4" ht="23" customHeight="1">
      <x:c r="A4" s="6" t="str">
        <x:v>Assumption Register</x:v>
      </x:c>
      <x:c r="B4" s="4"/>
      <x:c r="C4" s="4"/>
      <x:c r="D4" s="4"/>
      <x:c r="E4" s="4"/>
      <x:c r="F4" s="4"/>
      <x:c r="G4" s="4"/>
      <x:c r="H4" s="4"/>
      <x:c r="I4" s="4"/>
    </x:row>
    <x:row r="5" ht="34" customHeight="1">
      <x:c r="A5" s="34" t="str">
        <x:v>ID</x:v>
      </x:c>
      <x:c r="B5" s="34" t="str">
        <x:v>Assumption</x:v>
      </x:c>
      <x:c r="C5" s="34" t="str">
        <x:v>Base</x:v>
      </x:c>
      <x:c r="D5" s="34" t="str">
        <x:v>Downside</x:v>
      </x:c>
      <x:c r="E5" s="34" t="str">
        <x:v>Upside</x:v>
      </x:c>
      <x:c r="F5" s="34" t="str">
        <x:v>Historical support / external evidence</x:v>
      </x:c>
      <x:c r="G5" s="34" t="str">
        <x:v>Reason for the estimate</x:v>
      </x:c>
      <x:c r="H5" s="34" t="str">
        <x:v>What could prove it wrong</x:v>
      </x:c>
      <x:c r="I5" s="34" t="str">
        <x:v>Classification</x:v>
      </x:c>
    </x:row>
    <x:row r="6" ht="50" customHeight="1">
      <x:c r="A6" s="6" t="str">
        <x:v>A01</x:v>
      </x:c>
      <x:c r="B6" s="6" t="str">
        <x:v>Insurance-seller mix</x:v>
      </x:c>
      <x:c r="C6" s="6" t="str">
        <x:v>81% processed vehicles</x:v>
      </x:c>
      <x:c r="D6" s="6" t="str">
        <x:v>Same starting mix</x:v>
      </x:c>
      <x:c r="E6" s="6" t="str">
        <x:v>Same starting mix</x:v>
      </x:c>
      <x:c r="F6" s="7" t="str">
        <x:v>FY2025 10-K: insurance companies supplied 81% of vehicles processed; FY2023 83%, FY2024 81%.</x:v>
      </x:c>
      <x:c r="G6" s="7" t="str">
        <x:v>Uses the insurer share of vehicles to estimate U.S. service revenue. Revenue by seller type is not disclosed.</x:v>
      </x:c>
      <x:c r="H6" s="7" t="str">
        <x:v>The seller mix changes, or revenue shares differ from vehicle shares</x:v>
      </x:c>
      <x:c r="I6" s="7" t="str">
        <x:v>Reported input / analyst allocation</x:v>
      </x:c>
    </x:row>
    <x:row r="7" ht="50" customHeight="1">
      <x:c r="A7" s="6" t="str">
        <x:v>A02</x:v>
      </x:c>
      <x:c r="B7" s="6" t="str">
        <x:v>FY2026E revenue estimate</x:v>
      </x:c>
      <x:c r="C7" s="6" t="str">
        <x:v>9M actual + modest Q4</x:v>
      </x:c>
      <x:c r="D7" s="6" t="str">
        <x:v>Same FY2026 estimate</x:v>
      </x:c>
      <x:c r="E7" s="6" t="str">
        <x:v>Same FY2026 estimate</x:v>
      </x:c>
      <x:c r="F7" s="7" t="str">
        <x:v>FY2026 9M revenue -0.2%; service revenue -0.4% YoY.</x:v>
      </x:c>
      <x:c r="G7" s="7" t="str">
        <x:v>Uses current results rather than extending older growth rates</x:v>
      </x:c>
      <x:c r="H7" s="7" t="str">
        <x:v>Reported Q4 result materially above/below Q4 estimate.</x:v>
      </x:c>
      <x:c r="I7" s="6" t="str">
        <x:v>Reported + analyst estimate</x:v>
      </x:c>
    </x:row>
    <x:row r="8" ht="50" customHeight="1">
      <x:c r="A8" s="6" t="str">
        <x:v>A03</x:v>
      </x:c>
      <x:c r="B8" s="6" t="str">
        <x:v>U.S. insurance volume</x:v>
      </x:c>
      <x:c r="C8" s="6" t="str">
        <x:v>4.5% to 3.3% FY27-30</x:v>
      </x:c>
      <x:c r="D8" s="6" t="str">
        <x:v>1.0% to 2.5%</x:v>
      </x:c>
      <x:c r="E8" s="6" t="str">
        <x:v>7.0% to 4.5%</x:v>
      </x:c>
      <x:c r="F8" s="7" t="str">
        <x:v>Insurers supply most vehicles. Accidents, total losses and insurer contracts affect volume.</x:v>
      </x:c>
      <x:c r="G8" s="7" t="str">
        <x:v>Higher repair costs can increase total losses even if accidents fall</x:v>
      </x:c>
      <x:c r="H8" s="7" t="str">
        <x:v>Fewer total losses or lost insurer contracts</x:v>
      </x:c>
      <x:c r="I8" s="6" t="str">
        <x:v>Analyst estimate</x:v>
      </x:c>
    </x:row>
    <x:row r="9" ht="50" customHeight="1">
      <x:c r="A9" s="6" t="str">
        <x:v>A04</x:v>
      </x:c>
      <x:c r="B9" s="6" t="str">
        <x:v>U.S. insurance RPU</x:v>
      </x:c>
      <x:c r="C9" s="6" t="str">
        <x:v>2.6% to 2.0%</x:v>
      </x:c>
      <x:c r="D9" s="6" t="str">
        <x:v>1.0% to 1.5%</x:v>
      </x:c>
      <x:c r="E9" s="6" t="str">
        <x:v>3.2% to 2.3%</x:v>
      </x:c>
      <x:c r="F9" s="7" t="str">
        <x:v>FY2025 U.S. service growth driven primarily by revenue per car and volume (10-K).</x:v>
      </x:c>
      <x:c r="G9" s="7" t="str">
        <x:v>Fees, service mix and prices for damaged vehicles affect revenue per vehicle</x:v>
      </x:c>
      <x:c r="H9" s="7" t="str">
        <x:v>Lower fees, fewer paid services or lower vehicle sale prices</x:v>
      </x:c>
      <x:c r="I9" s="6" t="str">
        <x:v>Analyst estimate</x:v>
      </x:c>
    </x:row>
    <x:row r="10" ht="50" customHeight="1">
      <x:c r="A10" s="6" t="str">
        <x:v>A05</x:v>
      </x:c>
      <x:c r="B10" s="6" t="str">
        <x:v>International unit growth</x:v>
      </x:c>
      <x:c r="C10" s="6" t="str">
        <x:v>8.0% to 5.0%</x:v>
      </x:c>
      <x:c r="D10" s="6" t="str">
        <x:v>4.0% to 4.0%</x:v>
      </x:c>
      <x:c r="E10" s="6" t="str">
        <x:v>10.0% to 6.5%</x:v>
      </x:c>
      <x:c r="F10" s="7" t="str">
        <x:v>FY2025 letter: international unit volume +8.1%; fee units +9.8%.</x:v>
      </x:c>
      <x:c r="G10" s="7" t="str">
        <x:v>International growth may be faster, but currency rates and local costs can reduce profit</x:v>
      </x:c>
      <x:c r="H10" s="7" t="str">
        <x:v>Disruption, weaker currencies, poor returns on yards or lost contracts</x:v>
      </x:c>
      <x:c r="I10" s="6" t="str">
        <x:v>Analyst estimate</x:v>
      </x:c>
    </x:row>
    <x:row r="11" ht="50" customHeight="1">
      <x:c r="A11" s="6" t="str">
        <x:v>A06</x:v>
      </x:c>
      <x:c r="B11" s="6" t="str">
        <x:v>Owned-vehicle sales</x:v>
      </x:c>
      <x:c r="C11" s="6" t="str">
        <x:v>2.0% to 1.0%</x:v>
      </x:c>
      <x:c r="D11" s="6" t="str">
        <x:v>-2.0% to 1.0%</x:v>
      </x:c>
      <x:c r="E11" s="6" t="str">
        <x:v>4.0% to 2.0%</x:v>
      </x:c>
      <x:c r="F11" s="7" t="str">
        <x:v>FY2025 owned-vehicle sales were about $678m. Revenue includes the full sale price.</x:v>
      </x:c>
      <x:c r="G11" s="7" t="str">
        <x:v>Owned-vehicle sales have lower margins than service fees and are forecast separately</x:v>
      </x:c>
      <x:c r="H11" s="7" t="str">
        <x:v>Seller mix / ownership change and gross-margin compression.</x:v>
      </x:c>
      <x:c r="I11" s="6" t="str">
        <x:v>Analyst estimate</x:v>
      </x:c>
    </x:row>
    <x:row r="12" ht="50" customHeight="1">
      <x:c r="A12" s="6" t="str">
        <x:v>A07</x:v>
      </x:c>
      <x:c r="B12" s="6" t="str">
        <x:v>Facility costs / service revenue</x:v>
      </x:c>
      <x:c r="C12" s="6" t="str">
        <x:v>49.0% to 48.5% in FY2027-FY2030</x:v>
      </x:c>
      <x:c r="D12" s="6" t="str">
        <x:v>49.5% to 48.8%</x:v>
      </x:c>
      <x:c r="E12" s="6" t="str">
        <x:v>48.0% to 46.5%</x:v>
      </x:c>
      <x:c r="F12" s="7" t="str">
        <x:v>FY2025 facility operations = 49.0% of service revenue.</x:v>
      </x:c>
      <x:c r="G12" s="7" t="str">
        <x:v>More vehicles may spread fixed costs, but labor, transport and storage costs also rise</x:v>
      </x:c>
      <x:c r="H12" s="7" t="str">
        <x:v>Higher costs, unused yards or too little capacity</x:v>
      </x:c>
      <x:c r="I12" s="6" t="str">
        <x:v>Analyst estimate</x:v>
      </x:c>
    </x:row>
    <x:row r="13" ht="50" customHeight="1">
      <x:c r="A13" s="6" t="str">
        <x:v>A08</x:v>
      </x:c>
      <x:c r="B13" s="6" t="str">
        <x:v>G&amp;A / revenue</x:v>
      </x:c>
      <x:c r="C13" s="6" t="str">
        <x:v>9.1% to 8.5% in FY2027-FY2030</x:v>
      </x:c>
      <x:c r="D13" s="6" t="str">
        <x:v>9.8% to 9.0%</x:v>
      </x:c>
      <x:c r="E13" s="6" t="str">
        <x:v>8.8% to 7.5%</x:v>
      </x:c>
      <x:c r="F13" s="7" t="str">
        <x:v>FY2026 9M G&amp;A including D&amp;A/SBC ran above FY2025 ratio.</x:v>
      </x:c>
      <x:c r="G13" s="7" t="str">
        <x:v>Corporate costs may grow more slowly than revenue. Expansion can delay this.</x:v>
      </x:c>
      <x:c r="H13" s="7" t="str">
        <x:v>Sustained compliance, technology, or expansion cost.</x:v>
      </x:c>
      <x:c r="I13" s="6" t="str">
        <x:v>Analyst estimate</x:v>
      </x:c>
    </x:row>
    <x:row r="14" ht="50" customHeight="1">
      <x:c r="A14" s="6" t="str">
        <x:v>A09</x:v>
      </x:c>
      <x:c r="B14" s="6" t="str">
        <x:v>Forecast tax rate</x:v>
      </x:c>
      <x:c r="C14" s="6" t="str">
        <x:v>21.0%</x:v>
      </x:c>
      <x:c r="D14" s="6" t="str">
        <x:v>21.0%</x:v>
      </x:c>
      <x:c r="E14" s="6" t="str">
        <x:v>21.0%</x:v>
      </x:c>
      <x:c r="F14" s="7" t="str">
        <x:v>FY2025 effective tax rate was 18.3%. Countries and one-time items affect the rate.</x:v>
      </x:c>
      <x:c r="G14" s="7" t="str">
        <x:v>Does not assume one year's tax benefits continue forever</x:v>
      </x:c>
      <x:c r="H14" s="7" t="str">
        <x:v>Tax law or sustained changes in profit mix.</x:v>
      </x:c>
      <x:c r="I14" s="6" t="str">
        <x:v>Forecast estimate</x:v>
      </x:c>
    </x:row>
    <x:row r="15" ht="50" customHeight="1">
      <x:c r="A15" s="6" t="str">
        <x:v>A10</x:v>
      </x:c>
      <x:c r="B15" s="6" t="str">
        <x:v>D&amp;A</x:v>
      </x:c>
      <x:c r="C15" s="6" t="str">
        <x:v>4.8% to 4.4% revenue</x:v>
      </x:c>
      <x:c r="D15" s="6" t="str">
        <x:v>5.0% to 4.7%</x:v>
      </x:c>
      <x:c r="E15" s="6" t="str">
        <x:v>4.7% to 4.3%</x:v>
      </x:c>
      <x:c r="F15" s="7" t="str">
        <x:v>FY2025 cash-flow D&amp;A $217.8m; PP&amp;E and land base keeps growing.</x:v>
      </x:c>
      <x:c r="G15" s="7" t="str">
        <x:v>Depreciation follows facilities / equipment / software, while land is not depreciated.</x:v>
      </x:c>
      <x:c r="H15" s="6" t="str">
        <x:v>Capex mix or asset-life changes.</x:v>
      </x:c>
      <x:c r="I15" s="6" t="str">
        <x:v>Analyst estimate</x:v>
      </x:c>
    </x:row>
    <x:row r="16" ht="50" customHeight="1">
      <x:c r="A16" s="6" t="str">
        <x:v>A11</x:v>
      </x:c>
      <x:c r="B16" s="6" t="str">
        <x:v>Total capex</x:v>
      </x:c>
      <x:c r="C16" s="6" t="str">
        <x:v>10.5% to 10.0% in FY2027-FY2030</x:v>
      </x:c>
      <x:c r="D16" s="6" t="str">
        <x:v>12.0% to 10.5%</x:v>
      </x:c>
      <x:c r="E16" s="6" t="str">
        <x:v>10.0% to 8.5%</x:v>
      </x:c>
      <x:c r="F16" s="7" t="str">
        <x:v>FY2025 PP&amp;E purchases were $569m, or 12.2% of revenue. The letter says about $500m for capacity and storm preparation.</x:v>
      </x:c>
      <x:c r="G16" s="7" t="str">
        <x:v>Retains a 10% base spending floor. Land, yards and storm capacity continue to require investment.</x:v>
      </x:c>
      <x:c r="H16" s="7" t="str">
        <x:v>Continued yard shortages, higher land prices or new-country spending</x:v>
      </x:c>
      <x:c r="I16" s="6" t="str">
        <x:v>Analyst estimate</x:v>
      </x:c>
    </x:row>
    <x:row r="17" ht="50" customHeight="1">
      <x:c r="A17" s="6" t="str">
        <x:v>A12</x:v>
      </x:c>
      <x:c r="B17" s="6" t="str">
        <x:v>Maintenance vs growth capex</x:v>
      </x:c>
      <x:c r="C17" s="6" t="str">
        <x:v>70% of D&amp;A maintenance</x:v>
      </x:c>
      <x:c r="D17" s="6" t="str">
        <x:v>72%</x:v>
      </x:c>
      <x:c r="E17" s="6" t="str">
        <x:v>68%</x:v>
      </x:c>
      <x:c r="F17" s="7" t="str">
        <x:v>Management does not disclose the split; total PP&amp;E purchases are reported.</x:v>
      </x:c>
      <x:c r="G17" s="7" t="str">
        <x:v>The split only explains spending. FCFF deducts all capex.</x:v>
      </x:c>
      <x:c r="H17" s="7" t="str">
        <x:v>Any direct disclosure; does not alter total capex in this model.</x:v>
      </x:c>
      <x:c r="I17" s="6" t="str">
        <x:v>Analyst allocation</x:v>
      </x:c>
    </x:row>
    <x:row r="18" ht="50" customHeight="1">
      <x:c r="A18" s="6" t="str">
        <x:v>A13</x:v>
      </x:c>
      <x:c r="B18" s="6" t="str">
        <x:v>Working capital</x:v>
      </x:c>
      <x:c r="C18" s="6" t="str">
        <x:v>1.0% to 0.8% incremental rev</x:v>
      </x:c>
      <x:c r="D18" s="6" t="str">
        <x:v>1.2% to 1.0%</x:v>
      </x:c>
      <x:c r="E18" s="6" t="str">
        <x:v>0.9% to 0.7%</x:v>
      </x:c>
      <x:c r="F18" s="7" t="str">
        <x:v>Cash tied up in advances, receivables, payables and taxes changes sharply between years.</x:v>
      </x:c>
      <x:c r="G18" s="7" t="str">
        <x:v>Avoids treating historical cash releases as permanent.</x:v>
      </x:c>
      <x:c r="H18" s="7" t="str">
        <x:v>Large advance-charge / receivable build, catastrophe cash need.</x:v>
      </x:c>
      <x:c r="I18" s="6" t="str">
        <x:v>Analyst estimate</x:v>
      </x:c>
    </x:row>
    <x:row r="19" ht="50" customHeight="1">
      <x:c r="A19" s="6" t="str">
        <x:v>A14</x:v>
      </x:c>
      <x:c r="B19" s="6" t="str">
        <x:v>Excess cash</x:v>
      </x:c>
      <x:c r="C19" s="7" t="str">
        <x:v>$3.513bn cash equivalents and Treasury bills, less a 15%-of-revenue reserve</x:v>
      </x:c>
      <x:c r="D19" s="6" t="str">
        <x:v>Same rule</x:v>
      </x:c>
      <x:c r="E19" s="6" t="str">
        <x:v>Same rule</x:v>
      </x:c>
      <x:c r="F19" s="7" t="str">
        <x:v>Q3 10-Q Note 3: $2,667.594m cash equivalents and $845.570m HTM at amortized cost. Balance sheet reports $3,354.142m cash, cash equivalents, and restricted cash.</x:v>
      </x:c>
      <x:c r="G19" s="7" t="str">
        <x:v>Uses disclosed cash equivalents and Treasury bills. Excludes $686.548m whose split between cash and restricted cash is unknown. The filing does not confirm that all cash equivalents are unrestricted.</x:v>
      </x:c>
      <x:c r="H19" s="7" t="str">
        <x:v>A filing identifies restricted cash or restrictions on cash equivalents or Treasury bills</x:v>
      </x:c>
      <x:c r="I19" s="6" t="str">
        <x:v>Analyst estimate</x:v>
      </x:c>
    </x:row>
    <x:row r="20" ht="50" customHeight="1">
      <x:c r="A20" s="6" t="str">
        <x:v>A15</x:v>
      </x:c>
      <x:c r="B20" s="6" t="str">
        <x:v>WACC</x:v>
      </x:c>
      <x:c r="C20" s="188" t="n">
        <x:f>'WACC'!C20</x:f>
        <x:v>0.09324868735025951</x:v>
      </x:c>
      <x:c r="D20" s="6" t="str">
        <x:v>9.33%</x:v>
      </x:c>
      <x:c r="E20" s="6" t="str">
        <x:v>9.33%</x:v>
      </x:c>
      <x:c r="F20" s="7" t="str">
        <x:v>10Y Treasury 4.63%, beta risk estimate 1.11 and ERP 4.23%. Small estimated finance-lease weight; funded borrowing is zero.</x:v>
      </x:c>
      <x:c r="G20" s="7" t="str">
        <x:v>Uses CAPM inputs. All operating cases use the same discount rate.</x:v>
      </x:c>
      <x:c r="H20" s="7" t="str">
        <x:v>Different defensible beta/ERP/capital structure view.</x:v>
      </x:c>
      <x:c r="I20" s="6" t="str">
        <x:v>Derived</x:v>
      </x:c>
    </x:row>
    <x:row r="21" ht="50" customHeight="1">
      <x:c r="A21" s="6" t="str">
        <x:v>A16</x:v>
      </x:c>
      <x:c r="B21" s="6" t="str">
        <x:v>Terminal growth</x:v>
      </x:c>
      <x:c r="C21" s="6" t="str">
        <x:v>2.75%</x:v>
      </x:c>
      <x:c r="D21" s="6" t="str">
        <x:v>2.25%</x:v>
      </x:c>
      <x:c r="E21" s="6" t="str">
        <x:v>3.00%</x:v>
      </x:c>
      <x:c r="F21" s="7" t="str">
        <x:v>Assumes slower long-run growth, including inflation. This is an estimate, not company guidance.</x:v>
      </x:c>
      <x:c r="G21" s="7" t="str">
        <x:v>Growth must stay below WACC and allow for the investment needed to sustain it</x:v>
      </x:c>
      <x:c r="H21" s="7" t="str">
        <x:v>Future growth or margins require more investment than assumed</x:v>
      </x:c>
      <x:c r="I21" s="6" t="str">
        <x:v>Analyst estimate</x:v>
      </x:c>
    </x:row>
    <x:row r="22" ht="50" customHeight="1">
      <x:c r="A22" s="6" t="str">
        <x:v>A17</x:v>
      </x:c>
      <x:c r="B22" s="6" t="str">
        <x:v>Implied EV / EBITDA</x:v>
      </x:c>
      <x:c r="C22" s="193" t="n">
        <x:f>'Assumptions'!C15</x:f>
        <x:v>9.00213874959975</x:v>
      </x:c>
      <x:c r="D22" s="6" t="str">
        <x:v>Derived</x:v>
      </x:c>
      <x:c r="E22" s="6" t="str">
        <x:v>Terminal reconciliation</x:v>
      </x:c>
      <x:c r="F22" s="7" t="str">
        <x:v>Terminal value / final-year EBITDA; same growth and investment assumptions.</x:v>
      </x:c>
      <x:c r="G22" s="7" t="str">
        <x:v>The multiple reconciles the terminal cash-flow value.</x:v>
      </x:c>
      <x:c r="H22" s="7" t="str">
        <x:v>Growth, investment or required return changes</x:v>
      </x:c>
      <x:c r="I22" s="6" t="str">
        <x:v>Derived</x:v>
      </x:c>
    </x:row>
    <x:row r="23" ht="50" customHeight="1">
      <x:c r="A23" s="6" t="str">
        <x:v>A18</x:v>
      </x:c>
      <x:c r="B23" s="7" t="str">
        <x:v>Latest-disclosure diluted-share estimate</x:v>
      </x:c>
      <x:c r="C23" s="6" t="str">
        <x:v>932.288m</x:v>
      </x:c>
      <x:c r="D23" s="6" t="str">
        <x:v>Same</x:v>
      </x:c>
      <x:c r="E23" s="6" t="str">
        <x:v>Same</x:v>
      </x:c>
      <x:c r="F23" s="7" t="str">
        <x:v>S15: 925.811m current shares; Q3 basic 936.293m and diluted 942.770m.</x:v>
      </x:c>
      <x:c r="G23" s="7" t="str">
        <x:v>Uses 925.811m basic shares disclosed 27 May plus 6.477m for dilution. Later share changes are unknown.</x:v>
      </x:c>
      <x:c r="H23" s="7" t="str">
        <x:v>Option exercises, buybacks, issuance or a different dilution estimate</x:v>
      </x:c>
      <x:c r="I23" s="6" t="str">
        <x:v>Derived estimate</x:v>
      </x:c>
    </x:row>
    <x:row r="24" ht="50" customHeight="1">
      <x:c r="A24" s="6" t="str">
        <x:v>A19</x:v>
      </x:c>
      <x:c r="B24" s="6" t="str">
        <x:v>Discounting horizon</x:v>
      </x:c>
      <x:c r="C24" s="6" t="str">
        <x:v>FY2027-FY2030; four future years</x:v>
      </x:c>
      <x:c r="D24" s="4"/>
      <x:c r="E24" s="4"/>
      <x:c r="F24" s="7" t="str">
        <x:v>Fiscal year ended 31 July; valuation 5 August 2026</x:v>
      </x:c>
      <x:c r="G24" s="7" t="str">
        <x:v>FY2026 ended before valuation, so its cash flow is excluded from future value.</x:v>
      </x:c>
      <x:c r="H24" s="7" t="str">
        <x:v>A supported later forecast or valuation-date cash roll-forward</x:v>
      </x:c>
      <x:c r="I24" s="6" t="str">
        <x:v>Method correction</x:v>
      </x:c>
    </x:row>
    <x:row r="25" ht="50" customHeight="1">
      <x:c r="A25" s="6" t="str">
        <x:v>A20</x:v>
      </x:c>
      <x:c r="B25" s="6" t="str">
        <x:v>Redeemable minority claim</x:v>
      </x:c>
      <x:c r="C25" s="6" t="str">
        <x:v>$17.181m deducted</x:v>
      </x:c>
      <x:c r="D25" s="4"/>
      <x:c r="E25" s="4"/>
      <x:c r="F25" s="7" t="str">
        <x:v>Q3 10-Q balance sheet p.3. Note 1, redeemable minority interest</x:v>
      </x:c>
      <x:c r="G25" s="7" t="str">
        <x:v>Cash flow includes the subsidiary. The model deducts the minority interest once, using its reported carrying value.</x:v>
      </x:c>
      <x:c r="H25" s="7" t="str">
        <x:v>A supportable fair-value estimate differs</x:v>
      </x:c>
      <x:c r="I25" s="7" t="str">
        <x:v>Reported carrying value used as estimate</x:v>
      </x:c>
    </x:row>
    <x:row r="26" ht="23" customHeight="1">
      <x:c r="A26" s="4"/>
      <x:c r="B26" s="4"/>
      <x:c r="C26" s="4"/>
      <x:c r="D26" s="4"/>
      <x:c r="E26" s="4"/>
      <x:c r="F26" s="4"/>
      <x:c r="G26" s="4"/>
      <x:c r="H26" s="4"/>
      <x:c r="I26" s="4"/>
    </x:row>
    <x:row r="27" ht="23" customHeight="1">
      <x:c r="A27" s="4"/>
      <x:c r="B27" s="4"/>
      <x:c r="C27" s="4"/>
      <x:c r="D27" s="4"/>
      <x:c r="E27" s="4"/>
      <x:c r="F27" s="4"/>
      <x:c r="G27" s="4"/>
      <x:c r="H27" s="4"/>
      <x:c r="I27" s="4"/>
    </x:row>
    <x:row r="28" ht="23" customHeight="1">
      <x:c r="A28" s="4"/>
      <x:c r="B28" s="4"/>
      <x:c r="C28" s="4"/>
      <x:c r="D28" s="4"/>
      <x:c r="E28" s="4"/>
      <x:c r="F28" s="4"/>
      <x:c r="G28" s="4"/>
      <x:c r="H28" s="4"/>
      <x:c r="I28" s="4"/>
    </x:row>
    <x:row r="29" ht="23" customHeight="1">
      <x:c r="A29" s="4"/>
      <x:c r="B29" s="4"/>
      <x:c r="C29" s="4"/>
      <x:c r="D29" s="4"/>
      <x:c r="E29" s="4"/>
      <x:c r="F29" s="4"/>
      <x:c r="G29" s="4"/>
      <x:c r="H29" s="4"/>
      <x:c r="I29" s="4"/>
    </x:row>
    <x:row r="30" ht="23" customHeight="1">
      <x:c r="A30" s="4"/>
      <x:c r="B30" s="4"/>
      <x:c r="C30" s="4"/>
      <x:c r="D30" s="4"/>
      <x:c r="E30" s="4"/>
      <x:c r="F30" s="4"/>
      <x:c r="G30" s="4"/>
      <x:c r="H30" s="4"/>
      <x:c r="I30" s="4"/>
    </x:row>
  </x:sheetData>
  <x:pageMargins left="0.7" right="0.7" top="0.75" bottom="0.75" header="0.3" footer="0.3"/>
</x:worksheet>
</file>

<file path=xl/worksheets/sheet13.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8" hidden="0" customWidth="1"/>
    <x:col min="2" max="2" width="33" hidden="0" customWidth="1"/>
    <x:col min="3" max="3" width="23" hidden="0" customWidth="1"/>
    <x:col min="4" max="4" width="23" hidden="0" customWidth="1"/>
    <x:col min="5" max="5" width="23" hidden="0" customWidth="1"/>
    <x:col min="6" max="6" width="54" hidden="0" customWidth="1"/>
    <x:col min="7" max="7" width="52" hidden="0" customWidth="1"/>
    <x:col min="8" max="8" width="35" hidden="0" customWidth="1"/>
    <x:col min="9" max="9" width="35" hidden="0" customWidth="1"/>
  </x:cols>
  <x:sheetData>
    <x:row r="1" ht="31" customHeight="1">
      <x:c r="A1" s="146" t="str">
        <x:v>Sources</x:v>
      </x:c>
      <x:c r="B1" s="19"/>
      <x:c r="C1" s="19"/>
      <x:c r="D1" s="19"/>
      <x:c r="E1" s="19"/>
      <x:c r="F1" s="19"/>
      <x:c r="G1" s="19"/>
      <x:c r="H1" s="19"/>
      <x:c r="I1" s="19"/>
    </x:row>
    <x:row r="2" ht="34" customHeight="1">
      <x:c r="A2" s="38" t="str">
        <x:v>Company filings and official releases are used first. Market inputs have dates and source names.</x:v>
      </x:c>
      <x:c r="B2" s="23"/>
      <x:c r="C2" s="23"/>
      <x:c r="D2" s="23"/>
      <x:c r="E2" s="23"/>
      <x:c r="F2" s="23"/>
      <x:c r="G2" s="23"/>
      <x:c r="H2" s="23"/>
      <x:c r="I2" s="23"/>
    </x:row>
    <x:row r="3" ht="23" customHeight="1">
      <x:c r="A3" s="4"/>
      <x:c r="B3" s="4"/>
      <x:c r="C3" s="4"/>
      <x:c r="D3" s="4"/>
      <x:c r="E3" s="4"/>
      <x:c r="F3" s="4"/>
      <x:c r="G3" s="4"/>
      <x:c r="H3" s="4"/>
      <x:c r="I3" s="4"/>
    </x:row>
    <x:row r="4" ht="25" customHeight="1">
      <x:c r="A4" s="60" t="str">
        <x:v>Citation Register</x:v>
      </x:c>
      <x:c r="B4" s="61"/>
      <x:c r="C4" s="61"/>
      <x:c r="D4" s="61"/>
      <x:c r="E4" s="61"/>
      <x:c r="F4" s="61"/>
      <x:c r="G4" s="61"/>
      <x:c r="H4" s="61"/>
      <x:c r="I4" s="61"/>
    </x:row>
    <x:row r="5" ht="34" customHeight="1">
      <x:c r="A5" s="34" t="str">
        <x:v>ID</x:v>
      </x:c>
      <x:c r="B5" s="34" t="str">
        <x:v>Document / source</x:v>
      </x:c>
      <x:c r="C5" s="34" t="str">
        <x:v>Date</x:v>
      </x:c>
      <x:c r="D5" s="34" t="str">
        <x:v>Type</x:v>
      </x:c>
      <x:c r="E5" s="34" t="str">
        <x:v>URL</x:v>
      </x:c>
      <x:c r="F5" s="34" t="str">
        <x:v>Exact section / page</x:v>
      </x:c>
      <x:c r="G5" s="34" t="str">
        <x:v>Used for</x:v>
      </x:c>
      <x:c r="H5" s="34" t="str">
        <x:v>Status</x:v>
      </x:c>
      <x:c r="I5" s="34" t="str">
        <x:v>Notes</x:v>
      </x:c>
    </x:row>
    <x:row r="6" ht="50" customHeight="1">
      <x:c r="A6" s="6" t="str">
        <x:v>S01</x:v>
      </x:c>
      <x:c r="B6" s="6" t="str">
        <x:v>Copart FY2025 Form 10-K</x:v>
      </x:c>
      <x:c r="C6" s="6" t="str">
        <x:v>25 Sep 2025</x:v>
      </x:c>
      <x:c r="D6" s="6" t="str">
        <x:v>SEC filing</x:v>
      </x:c>
      <x:c r="E6" s="7" t="str">
        <x:v>https://www.sec.gov/Archives/edgar/data/900075/000162828025042946/cprt-20250731.htm</x:v>
      </x:c>
      <x:c r="F6" s="7" t="str">
        <x:v>Balance sheet p.54; income p.55; cash flows p.58; Note 4 p.66; segment note and MD&amp;A</x:v>
      </x:c>
      <x:c r="G6" s="7" t="str">
        <x:v>FY2023-25 IS, CF, cash, land, debt, shares, segments, insurance mix</x:v>
      </x:c>
      <x:c r="H6" s="6" t="str">
        <x:v>Primary</x:v>
      </x:c>
      <x:c r="I6" s="6" t="str">
        <x:v>Core historical source</x:v>
      </x:c>
    </x:row>
    <x:row r="7" ht="50" customHeight="1">
      <x:c r="A7" s="6" t="str">
        <x:v>S02</x:v>
      </x:c>
      <x:c r="B7" s="6" t="str">
        <x:v>Copart FY2024 Form 10-K</x:v>
      </x:c>
      <x:c r="C7" s="6" t="str">
        <x:v>27 Sep 2024</x:v>
      </x:c>
      <x:c r="D7" s="6" t="str">
        <x:v>SEC filing</x:v>
      </x:c>
      <x:c r="E7" s="7" t="str">
        <x:v>https://www.sec.gov/Archives/edgar/data/900075/000090007524000024/cprt-20240731.htm</x:v>
      </x:c>
      <x:c r="F7" s="6" t="str">
        <x:v>Statements / Notes</x:v>
      </x:c>
      <x:c r="G7" s="7" t="str">
        <x:v>FY2022-24 comparison, capex &amp; acquisitions</x:v>
      </x:c>
      <x:c r="H7" s="6" t="str">
        <x:v>Primary</x:v>
      </x:c>
      <x:c r="I7" s="6" t="str">
        <x:v>FY2022 comparison</x:v>
      </x:c>
    </x:row>
    <x:row r="8" ht="50" customHeight="1">
      <x:c r="A8" s="6" t="str">
        <x:v>S03</x:v>
      </x:c>
      <x:c r="B8" s="6" t="str">
        <x:v>Copart FY2022 Form 10-K</x:v>
      </x:c>
      <x:c r="C8" s="6" t="str">
        <x:v>27 Sep 2022</x:v>
      </x:c>
      <x:c r="D8" s="6" t="str">
        <x:v>SEC filing</x:v>
      </x:c>
      <x:c r="E8" s="7" t="str">
        <x:v>https://www.sec.gov/Archives/edgar/data/900075/000090007522000050/cprt-20220731.htm</x:v>
      </x:c>
      <x:c r="F8" s="6" t="str">
        <x:v>Statements pp.57-61; Note 4 p.68</x:v>
      </x:c>
      <x:c r="G8" s="7" t="str">
        <x:v>FY2021-22 results, land, debt and operating working-capital changes</x:v>
      </x:c>
      <x:c r="H8" s="6" t="str">
        <x:v>Primary</x:v>
      </x:c>
      <x:c r="I8" s="7" t="str">
        <x:v>FY2021 shares split-adjusted in model</x:v>
      </x:c>
    </x:row>
    <x:row r="9" ht="50" customHeight="1">
      <x:c r="A9" s="6" t="str">
        <x:v>S04</x:v>
      </x:c>
      <x:c r="B9" s="7" t="str">
        <x:v>Copart FY2026 Q3 earnings release</x:v>
      </x:c>
      <x:c r="C9" s="6" t="str">
        <x:v>21 May 2026</x:v>
      </x:c>
      <x:c r="D9" s="6" t="str">
        <x:v>Company IR</x:v>
      </x:c>
      <x:c r="E9" s="7" t="str">
        <x:v>https://www.copart.com/content/cprt-04-30-26-earnings-release.pdf</x:v>
      </x:c>
      <x:c r="F9" s="6" t="str">
        <x:v>pp.1,3-6</x:v>
      </x:c>
      <x:c r="G9" s="7" t="str">
        <x:v>9M FY2026 results, balance sheet, segments, current locations/units</x:v>
      </x:c>
      <x:c r="H9" s="6" t="str">
        <x:v>Primary</x:v>
      </x:c>
      <x:c r="I9" s="7" t="str">
        <x:v>FY2026E starts with nine-month results</x:v>
      </x:c>
    </x:row>
    <x:row r="10" ht="50" customHeight="1">
      <x:c r="A10" s="6" t="str">
        <x:v>S05</x:v>
      </x:c>
      <x:c r="B10" s="6" t="str">
        <x:v>Copart FY2025 CEO letter</x:v>
      </x:c>
      <x:c r="C10" s="6" t="str">
        <x:v>2025</x:v>
      </x:c>
      <x:c r="D10" s="6" t="str">
        <x:v>Company IR</x:v>
      </x:c>
      <x:c r="E10" s="7" t="str">
        <x:v>https://www.copart.com/content/copart-ceo-lettertostockholders-2025.pdf</x:v>
      </x:c>
      <x:c r="F10" s="7" t="str">
        <x:v>Insurance / international / land / capex discussion</x:v>
      </x:c>
      <x:c r="G10" s="7" t="str">
        <x:v>Total losses, international volumes, commercial sellers, land and capital spending</x:v>
      </x:c>
      <x:c r="H10" s="6" t="str">
        <x:v>Management</x:v>
      </x:c>
      <x:c r="I10" s="7" t="str">
        <x:v>Management evidence, not independent macro forecast</x:v>
      </x:c>
    </x:row>
    <x:row r="11" ht="50" customHeight="1">
      <x:c r="A11" s="6" t="str">
        <x:v>S06</x:v>
      </x:c>
      <x:c r="B11" s="6" t="str">
        <x:v>Copart FY2024 CEO letter</x:v>
      </x:c>
      <x:c r="C11" s="6" t="str">
        <x:v>2024</x:v>
      </x:c>
      <x:c r="D11" s="6" t="str">
        <x:v>Company IR</x:v>
      </x:c>
      <x:c r="E11" s="7" t="str">
        <x:v>https://www.copart.com/content/copart-ceo-lettertoshareholders-2024.pdf</x:v>
      </x:c>
      <x:c r="F11" s="6" t="str">
        <x:v>Industry / capacity discussion</x:v>
      </x:c>
      <x:c r="G11" s="7" t="str">
        <x:v>Used-car pricing, total loss, land expansion context</x:v>
      </x:c>
      <x:c r="H11" s="6" t="str">
        <x:v>Management</x:v>
      </x:c>
      <x:c r="I11" s="6" t="str">
        <x:v>Supplemental qualitative context</x:v>
      </x:c>
    </x:row>
    <x:row r="12" ht="50" customHeight="1">
      <x:c r="A12" s="6" t="str">
        <x:v>S07</x:v>
      </x:c>
      <x:c r="B12" s="7" t="str">
        <x:v>U.S. Treasury daily par yield curve</x:v>
      </x:c>
      <x:c r="C12" s="6" t="str">
        <x:v>5 Aug 2026</x:v>
      </x:c>
      <x:c r="D12" s="6" t="str">
        <x:v>Government data</x:v>
      </x:c>
      <x:c r="E12" s="7" t="str">
        <x:v>https://home.treasury.gov/resource-center/data-chart-center/interest-rates/TextView?field_tdr_date_value=2026&amp;type=daily_treasury_yield_curve</x:v>
      </x:c>
      <x:c r="F12" s="7" t="str">
        <x:v>10-year CMT = 4.63% on valuation date</x:v>
      </x:c>
      <x:c r="G12" s="6" t="str">
        <x:v>Risk-free rate</x:v>
      </x:c>
      <x:c r="H12" s="6" t="str">
        <x:v>Primary</x:v>
      </x:c>
      <x:c r="I12" s="6" t="str">
        <x:v>Official daily curve</x:v>
      </x:c>
    </x:row>
    <x:row r="13" ht="50" customHeight="1">
      <x:c r="A13" s="6" t="str">
        <x:v>S08</x:v>
      </x:c>
      <x:c r="B13" s="6" t="str">
        <x:v>Damodaran implied ERP data</x:v>
      </x:c>
      <x:c r="C13" s="7" t="str">
        <x:v>2025 estimate; page updated Jan 2026</x:v>
      </x:c>
      <x:c r="D13" s="6" t="str">
        <x:v>Academic / market-data estimate</x:v>
      </x:c>
      <x:c r="E13" s="7" t="str">
        <x:v>https://pages.stern.nyu.edu/~adamodar/New_Home_Page/datafile/histimpl.html</x:v>
      </x:c>
      <x:c r="F13" s="7" t="str">
        <x:v>U.S. implied equity risk premium: 4.23%. This is a 2025 annual estimate, not a 5 August 2026 observation.</x:v>
      </x:c>
      <x:c r="G13" s="6" t="str">
        <x:v>4.23% U.S. implied ERP</x:v>
      </x:c>
      <x:c r="H13" s="6" t="str">
        <x:v>Original author / estimate</x:v>
      </x:c>
      <x:c r="I13" s="7" t="str">
        <x:v>Dated estimate, not a live market figure</x:v>
      </x:c>
    </x:row>
    <x:row r="14" ht="50" customHeight="1">
      <x:c r="A14" s="6" t="str">
        <x:v>S09</x:v>
      </x:c>
      <x:c r="B14" s="6" t="str">
        <x:v>Company beta assumption</x:v>
      </x:c>
      <x:c r="C14" s="6" t="str">
        <x:v>Analyst assumption at cutoff</x:v>
      </x:c>
      <x:c r="D14" s="6" t="str">
        <x:v>Analyst estimate</x:v>
      </x:c>
      <x:c r="E14" s="6" t="str">
        <x:v>Analyst assumption</x:v>
      </x:c>
      <x:c r="F14" s="7" t="str">
        <x:v>Beta 1.11 represents slightly above-market systematic risk. It is not a verified provider history.</x:v>
      </x:c>
      <x:c r="G14" s="6" t="str">
        <x:v>CAPM beta input</x:v>
      </x:c>
      <x:c r="H14" s="7" t="str">
        <x:v>Estimate, not verified provider history</x:v>
      </x:c>
      <x:c r="I14" s="7" t="str">
        <x:v>Risk assumption; see WACC sensitivity</x:v>
      </x:c>
    </x:row>
    <x:row r="15" ht="50" customHeight="1">
      <x:c r="A15" s="6" t="str">
        <x:v>S10</x:v>
      </x:c>
      <x:c r="B15" s="6" t="str">
        <x:v>CPRT historical-price page</x:v>
      </x:c>
      <x:c r="C15" s="6" t="str">
        <x:v>5 Aug 2026</x:v>
      </x:c>
      <x:c r="D15" s="6" t="str">
        <x:v>Market data</x:v>
      </x:c>
      <x:c r="E15" s="7" t="str">
        <x:v>https://finance.yahoo.com/quote/CPRT/history/</x:v>
      </x:c>
      <x:c r="F15" s="6" t="str">
        <x:v>5 Aug 2026 close = $28.91</x:v>
      </x:c>
      <x:c r="G15" s="7" t="str">
        <x:v>$28.91 close; market cap derived from current basic shares</x:v>
      </x:c>
      <x:c r="H15" s="6" t="str">
        <x:v>Third-party</x:v>
      </x:c>
      <x:c r="I15" s="7" t="str">
        <x:v>Dated snapshot, not company filing</x:v>
      </x:c>
    </x:row>
    <x:row r="16" ht="50" customHeight="1">
      <x:c r="A16" s="6" t="str">
        <x:v>S11</x:v>
      </x:c>
      <x:c r="B16" s="6" t="str">
        <x:v>RB Global Q2 2026 results</x:v>
      </x:c>
      <x:c r="C16" s="6" t="str">
        <x:v>4 Aug 2026</x:v>
      </x:c>
      <x:c r="D16" s="6" t="str">
        <x:v>Company release</x:v>
      </x:c>
      <x:c r="E16" s="7" t="str">
        <x:v>https://www.businesswire.com/news/home/20260804030984/en/RB-Global-Reports-Second-Quarter-2026-Results</x:v>
      </x:c>
      <x:c r="F16" s="7" t="str">
        <x:v>Q2 results / balance sheet / TTM debt &amp; EBITDA</x:v>
      </x:c>
      <x:c r="G16" s="6" t="str">
        <x:v>Comparable trading context</x:v>
      </x:c>
      <x:c r="H16" s="6" t="str">
        <x:v>Company release</x:v>
      </x:c>
      <x:c r="I16" s="6" t="str">
        <x:v>IAA plus other sectors</x:v>
      </x:c>
    </x:row>
    <x:row r="17" ht="50" customHeight="1">
      <x:c r="A17" s="6" t="str">
        <x:v>S12</x:v>
      </x:c>
      <x:c r="B17" s="6" t="str">
        <x:v>OPENLANE Q2 2026 results</x:v>
      </x:c>
      <x:c r="C17" s="6" t="str">
        <x:v>4 Aug 2026</x:v>
      </x:c>
      <x:c r="D17" s="6" t="str">
        <x:v>Company release</x:v>
      </x:c>
      <x:c r="E17" s="7" t="str">
        <x:v>https://www.prnewswire.com/news-releases/openlane-inc-reports-second-quarter-2026-financial-results-302841797.html</x:v>
      </x:c>
      <x:c r="F17" s="7" t="str">
        <x:v>Q2 results / balance sheet / guidance</x:v>
      </x:c>
      <x:c r="G17" s="6" t="str">
        <x:v>Comparable context</x:v>
      </x:c>
      <x:c r="H17" s="6" t="str">
        <x:v>Company release</x:v>
      </x:c>
      <x:c r="I17" s="7" t="str">
        <x:v>Finance receivable funding handled separately</x:v>
      </x:c>
    </x:row>
    <x:row r="18" ht="50" customHeight="1">
      <x:c r="A18" s="6" t="str">
        <x:v>S13</x:v>
      </x:c>
      <x:c r="B18" s="6" t="str">
        <x:v>OPENLANE FY2025 results</x:v>
      </x:c>
      <x:c r="C18" s="6" t="str">
        <x:v>18 Feb 2026</x:v>
      </x:c>
      <x:c r="D18" s="6" t="str">
        <x:v>Company release</x:v>
      </x:c>
      <x:c r="E18" s="7" t="str">
        <x:v>https://ir.corporate.openlane.com/investor-relations/investor-news/press-release-details/2026/OPENLANE-Inc--Reports-2025-Financial-Results/default.aspx</x:v>
      </x:c>
      <x:c r="F18" s="6" t="str">
        <x:v>FY2025 highlights</x:v>
      </x:c>
      <x:c r="G18" s="6" t="str">
        <x:v>Revenue / EBITDA peer context</x:v>
      </x:c>
      <x:c r="H18" s="6" t="str">
        <x:v>Company release</x:v>
      </x:c>
      <x:c r="I18" s="7" t="str">
        <x:v>Used where LTM was not straightforward</x:v>
      </x:c>
    </x:row>
    <x:row r="19" ht="50" customHeight="1">
      <x:c r="A19" s="6" t="str">
        <x:v>S14</x:v>
      </x:c>
      <x:c r="B19" s="6" t="str">
        <x:v>ACV Q1 2026 results</x:v>
      </x:c>
      <x:c r="C19" s="6" t="str">
        <x:v>6 May 2026</x:v>
      </x:c>
      <x:c r="D19" s="6" t="str">
        <x:v>Company release</x:v>
      </x:c>
      <x:c r="E19" s="7" t="str">
        <x:v>https://investors.acvauto.com/news-events/press-releases/detail/107/acv-announces-first-quarter-2026-results</x:v>
      </x:c>
      <x:c r="F19" s="6" t="str">
        <x:v>Q1 results and FY2026 guidance</x:v>
      </x:c>
      <x:c r="G19" s="6" t="str">
        <x:v>Comparable guidance, cash, debt</x:v>
      </x:c>
      <x:c r="H19" s="6" t="str">
        <x:v>Company release</x:v>
      </x:c>
      <x:c r="I19" s="7" t="str">
        <x:v>Q2 not yet reported at valuation date</x:v>
      </x:c>
    </x:row>
    <x:row r="20" ht="65" customHeight="1">
      <x:c r="A20" s="6" t="str">
        <x:v>S15</x:v>
      </x:c>
      <x:c r="B20" s="6" t="str">
        <x:v>Copart FY2026 Q3 Form 10-Q</x:v>
      </x:c>
      <x:c r="C20" s="6" t="str">
        <x:v>29 May 2026</x:v>
      </x:c>
      <x:c r="D20" s="6" t="str">
        <x:v>SEC filing</x:v>
      </x:c>
      <x:c r="E20" s="7" t="str">
        <x:v>https://www.sec.gov/Archives/edgar/data/900075/000119312526245578/cprt-20260430.htm</x:v>
      </x:c>
      <x:c r="F20" s="7" t="str">
        <x:v>Note 3 cash equivalents/HTM; Note 4 shares; financial statements</x:v>
      </x:c>
      <x:c r="G20" s="7" t="str">
        <x:v>Cash estimate, Q3 shares and nine-month comparisons</x:v>
      </x:c>
      <x:c r="H20" s="6" t="str">
        <x:v>Primary</x:v>
      </x:c>
      <x:c r="I20" s="7" t="str">
        <x:v>The $686.548m unclassified cash residual is excluded. Retained reserve also earmarks $391.9m for foreign cash. Finance debt is a disclosed-history estimate, not an invented April split.</x:v>
      </x:c>
    </x:row>
    <x:row r="21" ht="50" customHeight="1">
      <x:c r="A21" s="6" t="str">
        <x:v>S16</x:v>
      </x:c>
      <x:c r="B21" s="6" t="str">
        <x:v>Peer historical-price pages</x:v>
      </x:c>
      <x:c r="C21" s="6" t="str">
        <x:v>5 Aug 2026</x:v>
      </x:c>
      <x:c r="D21" s="6" t="str">
        <x:v>Market data</x:v>
      </x:c>
      <x:c r="E21" s="7" t="str">
        <x:v>https://finance.yahoo.com/quote/RBA/history/</x:v>
      </x:c>
      <x:c r="F21" s="7" t="str">
        <x:v>Unverified peer market fields are N/V; excluded from valuation evidence.</x:v>
      </x:c>
      <x:c r="G21" s="7" t="str">
        <x:v>Comparable-company market capitalizations and enterprise-value snapshots</x:v>
      </x:c>
      <x:c r="H21" s="6" t="str">
        <x:v>Third-party</x:v>
      </x:c>
      <x:c r="I21" s="7" t="str">
        <x:v>Financial denominators remain sourced to S11-S14 and their displayed periods</x:v>
      </x:c>
    </x:row>
    <x:row r="22" ht="23" customHeight="1">
      <x:c r="A22" s="6" t="str">
        <x:v>Reported and Calculated Figures</x:v>
      </x:c>
      <x:c r="B22" s="4"/>
      <x:c r="C22" s="4"/>
      <x:c r="D22" s="4"/>
      <x:c r="E22" s="4"/>
      <x:c r="F22" s="4"/>
      <x:c r="G22" s="4"/>
      <x:c r="H22" s="4"/>
      <x:c r="I22" s="4"/>
    </x:row>
    <x:row r="23" ht="91" customHeight="1">
      <x:c r="A23" s="7" t="str">
        <x:v>Reported figures come from the cited sources. Calculated figures use formulas. Estimates have reasons and tests in Assumption Notes. N/D means the company did not disclose the figure. Market inputs have dates. Update the share price, beta, Treasury rate, peer data and valuation date together.</x:v>
      </x:c>
      <x:c r="B23" s="4"/>
      <x:c r="C23" s="4"/>
      <x:c r="D23" s="4"/>
      <x:c r="E23" s="4"/>
      <x:c r="F23" s="4"/>
      <x:c r="G23" s="4"/>
      <x:c r="H23" s="4"/>
      <x:c r="I23" s="4"/>
    </x:row>
    <x:row r="24" ht="23" customHeight="1">
      <x:c r="A24" s="4"/>
      <x:c r="B24" s="4"/>
      <x:c r="C24" s="4"/>
      <x:c r="D24" s="4"/>
      <x:c r="E24" s="4"/>
      <x:c r="F24" s="4"/>
      <x:c r="G24" s="4"/>
      <x:c r="H24" s="4"/>
      <x:c r="I24" s="4"/>
    </x:row>
    <x:row r="25" ht="23" customHeight="1">
      <x:c r="A25" s="4"/>
      <x:c r="B25" s="4"/>
      <x:c r="C25" s="4"/>
      <x:c r="D25" s="4"/>
      <x:c r="E25" s="4"/>
      <x:c r="F25" s="4"/>
      <x:c r="G25" s="4"/>
      <x:c r="H25" s="4"/>
      <x:c r="I25" s="4"/>
    </x:row>
    <x:row r="26" ht="23" customHeight="1">
      <x:c r="A26" s="4"/>
      <x:c r="B26" s="4"/>
      <x:c r="C26" s="4"/>
      <x:c r="D26" s="4"/>
      <x:c r="E26" s="4"/>
      <x:c r="F26" s="4"/>
      <x:c r="G26" s="4"/>
      <x:c r="H26" s="4"/>
      <x:c r="I26" s="4"/>
    </x:row>
    <x:row r="27" ht="23" customHeight="1">
      <x:c r="A27" s="4"/>
      <x:c r="B27" s="4"/>
      <x:c r="C27" s="4"/>
      <x:c r="D27" s="4"/>
      <x:c r="E27" s="4"/>
      <x:c r="F27" s="4"/>
      <x:c r="G27" s="4"/>
      <x:c r="H27" s="4"/>
      <x:c r="I27" s="4"/>
    </x:row>
    <x:row r="28" ht="23" customHeight="1">
      <x:c r="A28" s="4"/>
      <x:c r="B28" s="4"/>
      <x:c r="C28" s="4"/>
      <x:c r="D28" s="4"/>
      <x:c r="E28" s="4"/>
      <x:c r="F28" s="4"/>
      <x:c r="G28" s="4"/>
      <x:c r="H28" s="4"/>
      <x:c r="I28" s="4"/>
    </x:row>
    <x:row r="29" ht="23" customHeight="1">
      <x:c r="A29" s="4"/>
      <x:c r="B29" s="4"/>
      <x:c r="C29" s="4"/>
      <x:c r="D29" s="4"/>
      <x:c r="E29" s="4"/>
      <x:c r="F29" s="4"/>
      <x:c r="G29" s="4"/>
      <x:c r="H29" s="4"/>
      <x:c r="I29" s="4"/>
    </x:row>
    <x:row r="30" ht="23" customHeight="1">
      <x:c r="A30" s="4"/>
      <x:c r="B30" s="4"/>
      <x:c r="C30" s="4"/>
      <x:c r="D30" s="4"/>
      <x:c r="E30" s="4"/>
      <x:c r="F30" s="4"/>
      <x:c r="G30" s="4"/>
      <x:c r="H30" s="4"/>
      <x:c r="I30" s="4"/>
    </x:row>
  </x:sheetData>
  <x:pageMargins left="0.7" right="0.7" top="0.75" bottom="0.75" header="0.3" footer="0.3"/>
</x:worksheet>
</file>