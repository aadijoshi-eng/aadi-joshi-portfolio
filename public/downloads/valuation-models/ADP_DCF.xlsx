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1a852c7a2a4c45" /></Relationships>
</file>

<file path=xl/workbook.xml><?xml version="1.0" encoding="utf-8"?>
<x:workbook xmlns:x="http://schemas.openxmlformats.org/spreadsheetml/2006/main">
  <x:sheets>
    <x:sheet xmlns:r="http://schemas.openxmlformats.org/officeDocument/2006/relationships" name="Cover" sheetId="1" r:id="Ra77db2183db74359"/>
    <x:sheet xmlns:r="http://schemas.openxmlformats.org/officeDocument/2006/relationships" name="DCF" sheetId="2" r:id="R635a6c67a1bb4a4a"/>
    <x:sheet xmlns:r="http://schemas.openxmlformats.org/officeDocument/2006/relationships" name="Sensitivities" sheetId="3" r:id="Raea28eb79a1648c3"/>
    <x:sheet xmlns:r="http://schemas.openxmlformats.org/officeDocument/2006/relationships" name="Assumptions" sheetId="4" r:id="Rbd40f225b3944308"/>
    <x:sheet xmlns:r="http://schemas.openxmlformats.org/officeDocument/2006/relationships" name="Forecast" sheetId="5" r:id="Rb853905cc7a34061"/>
    <x:sheet xmlns:r="http://schemas.openxmlformats.org/officeDocument/2006/relationships" name="Drivers" sheetId="6" r:id="R1f8b6d506dc14930"/>
    <x:sheet xmlns:r="http://schemas.openxmlformats.org/officeDocument/2006/relationships" name="Scenarios" sheetId="7" r:id="Reb89457f952b4f52"/>
    <x:sheet xmlns:r="http://schemas.openxmlformats.org/officeDocument/2006/relationships" name="PEO Calibration" sheetId="8" r:id="R9500677aae584eae"/>
    <x:sheet xmlns:r="http://schemas.openxmlformats.org/officeDocument/2006/relationships" name="WACC" sheetId="9" r:id="Rec64355bd11e44aa"/>
    <x:sheet xmlns:r="http://schemas.openxmlformats.org/officeDocument/2006/relationships" name="Historical" sheetId="10" r:id="R297e8859489a4662"/>
    <x:sheet xmlns:r="http://schemas.openxmlformats.org/officeDocument/2006/relationships" name="KPIs" sheetId="11" r:id="R544cb9401f074c0f"/>
    <x:sheet xmlns:r="http://schemas.openxmlformats.org/officeDocument/2006/relationships" name="Comps" sheetId="12" r:id="Rf26d162a7b1b4d05"/>
    <x:sheet xmlns:r="http://schemas.openxmlformats.org/officeDocument/2006/relationships" name="Assumption Notes" sheetId="13" r:id="Ra36b0c8783a343b8"/>
    <x:sheet xmlns:r="http://schemas.openxmlformats.org/officeDocument/2006/relationships" name="Sources" sheetId="14" r:id="Rb46994c4f2b448c2"/>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200" formatCode="#,##0.0;(#,##0.0);&quot;-&quot;"/>
    <x:numFmt numFmtId="201" formatCode="General"/>
    <x:numFmt numFmtId="202" formatCode="$#,##0.00;($#,##0.00);-"/>
    <x:numFmt numFmtId="203" formatCode="0.0%;(0.0%);-"/>
    <x:numFmt numFmtId="204" formatCode="$#,##0.0;($#,##0.0);-"/>
    <x:numFmt numFmtId="205" formatCode="d mmm yyyy"/>
    <x:numFmt numFmtId="206" formatCode="#,##0.0;(#,##0.0);-"/>
    <x:numFmt numFmtId="207" formatCode="0.0x"/>
    <x:numFmt numFmtId="208" formatCode="0.00%"/>
    <x:numFmt numFmtId="209" formatCode="0.0000%"/>
    <x:numFmt numFmtId="210" formatCode="0.00x"/>
    <x:numFmt numFmtId="211" formatCode="0.0%;(0.0%);&quot;-&quot;"/>
    <x:numFmt numFmtId="212" formatCode="0.0"/>
    <x:numFmt numFmtId="213" formatCode="0.0%"/>
    <x:numFmt numFmtId="214" formatCode="0.000x"/>
    <x:numFmt numFmtId="215" formatCode="0.0000"/>
    <x:numFmt numFmtId="216" formatCode="0.00"/>
    <x:numFmt numFmtId="217" formatCode="$0.00;($0.00);&quot;-&quot;"/>
    <x:numFmt numFmtId="218" formatCode="0.0&quot;x&quot;"/>
    <x:numFmt numFmtId="219" formatCode="0.000"/>
    <x:numFmt numFmtId="220" formatCode="0"/>
    <x:numFmt numFmtId="221" formatCode="0.00&quot;x&quot;"/>
  </x:numFmts>
  <x:fonts count="12">
    <x:font>
      <x:sz val="11"/>
      <x:name val="Carlito"/>
    </x:font>
    <x:font>
      <x:sz val="10"/>
      <x:color rgb="FF19384D"/>
      <x:name val="Arial"/>
    </x:font>
    <x:font>
      <x:b/>
      <x:sz val="15"/>
      <x:color rgb="FF19384D"/>
      <x:name val="Arial"/>
    </x:font>
    <x:font>
      <x:sz val="10"/>
      <x:color rgb="FF62717C"/>
      <x:name val="Arial"/>
    </x:font>
    <x:font>
      <x:b/>
      <x:sz val="10"/>
      <x:color rgb="FF19384D"/>
      <x:name val="Arial"/>
    </x:font>
    <x:font>
      <x:b/>
      <x:sz val="10"/>
      <x:color rgb="FFFFFFFF"/>
      <x:name val="Arial"/>
    </x:font>
    <x:font>
      <x:sz val="10"/>
      <x:color rgb="FF205C95"/>
      <x:name val="Arial"/>
    </x:font>
    <x:font>
      <x:sz val="10"/>
      <x:color rgb="FF137046"/>
      <x:name val="Arial"/>
    </x:font>
    <x:font>
      <x:sz val="10"/>
      <x:color rgb="FF1D2024"/>
      <x:name val="Arial"/>
    </x:font>
    <x:font>
      <x:b/>
      <x:sz val="16"/>
      <x:color rgb="FF19384D"/>
      <x:name val="Arial"/>
    </x:font>
    <x:font>
      <x:sz val="10"/>
      <x:color rgb="FF19384D"/>
      <x:name val="Arial"/>
    </x:font>
    <x:font>
      <x:sz val="10"/>
      <x:color rgb="FF008000"/>
      <x:name val="Arial"/>
    </x:font>
  </x:fonts>
  <x:fills count="6">
    <x:fill>
      <x:patternFill patternType="none"/>
    </x:fill>
    <x:fill>
      <x:patternFill patternType="gray125"/>
    </x:fill>
    <x:fill>
      <x:patternFill patternType="solid">
        <x:fgColor rgb="FFFFFFFF"/>
      </x:patternFill>
    </x:fill>
    <x:fill>
      <x:patternFill patternType="solid">
        <x:fgColor rgb="FFDDE7EC"/>
      </x:patternFill>
    </x:fill>
    <x:fill>
      <x:patternFill patternType="solid">
        <x:fgColor rgb="FF19384D"/>
      </x:patternFill>
    </x:fill>
    <x:fill>
      <x:patternFill patternType="solid">
        <x:fgColor rgb="FFE8EEF2"/>
      </x:patternFill>
    </x:fill>
  </x:fills>
  <x:borders count="2">
    <x:border>
      <x:left/>
      <x:right/>
      <x:top/>
      <x:bottom/>
      <x:diagonal/>
    </x:border>
    <x:border>
      <x:left style="medium">
        <x:color rgb="FF19384D"/>
      </x:left>
      <x:right style="medium">
        <x:color rgb="FF19384D"/>
      </x:right>
      <x:top style="medium">
        <x:color rgb="FF19384D"/>
      </x:top>
      <x:bottom style="medium">
        <x:color rgb="FF19384D"/>
      </x:bottom>
      <x:diagonal/>
    </x:border>
  </x:borders>
  <x:cellStyleXfs count="1">
    <x:xf numFmtId="0" fontId="0" fillId="0" borderId="0"/>
  </x:cellStyleXfs>
  <x:cellXfs count="20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201" fontId="1" fillId="2" borderId="0" xfId="0" applyNumberFormat="1" applyFont="1" applyFill="1" applyBorder="1" applyAlignment="1">
      <x:alignment horizontal="left" vertical="center"/>
    </x:xf>
    <x:xf numFmtId="201" fontId="1" fillId="2" borderId="0" xfId="0" applyNumberFormat="1" applyFont="1" applyFill="1" applyBorder="1" applyAlignment="1">
      <x:alignment horizontal="left" vertical="center" wrapText="1"/>
    </x:xf>
    <x:xf numFmtId="202" fontId="1" fillId="2" borderId="0" xfId="0" applyNumberFormat="1" applyFont="1" applyFill="1" applyBorder="1" applyAlignment="1">
      <x:alignment vertical="center"/>
    </x:xf>
    <x:xf numFmtId="202" fontId="1" fillId="2" borderId="0" xfId="0" applyNumberFormat="1" applyFont="1" applyFill="1" applyBorder="1" applyAlignment="1">
      <x:alignment horizontal="right" vertical="center"/>
    </x:xf>
    <x:xf numFmtId="202" fontId="1" fillId="2" borderId="0" xfId="0" applyNumberFormat="1" applyFont="1" applyFill="1" applyBorder="1" applyAlignment="1">
      <x:alignment horizontal="left" vertical="center"/>
    </x:xf>
    <x:xf numFmtId="203" fontId="1" fillId="2" borderId="0" xfId="0" applyNumberFormat="1" applyFont="1" applyFill="1" applyBorder="1" applyAlignment="1">
      <x:alignment vertical="center"/>
    </x:xf>
    <x:xf numFmtId="203" fontId="1" fillId="2" borderId="0" xfId="0" applyNumberFormat="1" applyFont="1" applyFill="1" applyBorder="1" applyAlignment="1">
      <x:alignment horizontal="right" vertical="center"/>
    </x:xf>
    <x:xf numFmtId="204" fontId="1" fillId="2" borderId="0" xfId="0" applyNumberFormat="1" applyFont="1" applyFill="1" applyBorder="1" applyAlignment="1">
      <x:alignment vertical="center"/>
    </x:xf>
    <x:xf numFmtId="204" fontId="1" fillId="2" borderId="0" xfId="0" applyNumberFormat="1" applyFont="1" applyFill="1" applyBorder="1" applyAlignment="1">
      <x:alignment horizontal="right" vertical="center"/>
    </x:xf>
    <x:xf numFmtId="203" fontId="1" fillId="2" borderId="0" xfId="0" applyNumberFormat="1" applyFont="1" applyFill="1" applyBorder="1" applyAlignment="1">
      <x:alignment horizontal="left" vertical="center"/>
    </x:xf>
    <x:xf numFmtId="201" fontId="1" fillId="2" borderId="0" xfId="0" applyNumberFormat="1" applyFont="1" applyFill="1" applyBorder="1" applyAlignment="1">
      <x:alignment horizontal="right" vertical="center"/>
    </x:xf>
    <x:xf numFmtId="205" fontId="1" fillId="2" borderId="0" xfId="0" applyNumberFormat="1" applyFont="1" applyFill="1" applyBorder="1" applyAlignment="1">
      <x:alignment vertical="center"/>
    </x:xf>
    <x:xf numFmtId="205" fontId="1" fillId="2" borderId="0" xfId="0" applyNumberFormat="1" applyFont="1" applyFill="1" applyBorder="1" applyAlignment="1">
      <x:alignment horizontal="right" vertical="center"/>
    </x:xf>
    <x:xf numFmtId="200" fontId="2" fillId="2" borderId="0" xfId="0" applyNumberFormat="1" applyFont="1" applyFill="1" applyBorder="1" applyAlignment="1">
      <x:alignment vertical="center"/>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left" vertical="center" wrapText="1"/>
    </x:xf>
    <x:xf numFmtId="200" fontId="2" fillId="2" borderId="0" xfId="0" applyNumberFormat="1" applyFont="1" applyFill="1" applyBorder="1" applyAlignment="1">
      <x:alignment horizontal="left" vertical="center" wrapText="0"/>
    </x:xf>
    <x:xf numFmtId="200" fontId="3" fillId="2" borderId="0" xfId="0" applyNumberFormat="1" applyFont="1" applyFill="1" applyBorder="1" applyAlignment="1">
      <x:alignment vertical="center"/>
    </x:xf>
    <x:xf numFmtId="200" fontId="3" fillId="2" borderId="0" xfId="0" applyNumberFormat="1" applyFont="1" applyFill="1" applyBorder="1" applyAlignment="1">
      <x:alignment vertical="center" wrapText="1"/>
    </x:xf>
    <x:xf numFmtId="200" fontId="3" fillId="2" borderId="0" xfId="0" applyNumberFormat="1" applyFont="1" applyFill="1" applyBorder="1" applyAlignment="1">
      <x:alignment horizontal="left" vertical="center" wrapText="1"/>
    </x:xf>
    <x:xf numFmtId="200" fontId="3" fillId="2" borderId="0" xfId="0" applyNumberFormat="1" applyFont="1" applyFill="1" applyBorder="1" applyAlignment="1">
      <x:alignment horizontal="left" vertical="center" wrapText="0"/>
    </x:xf>
    <x:xf numFmtId="201" fontId="1" fillId="3" borderId="0" xfId="0" applyNumberFormat="1" applyFont="1" applyFill="1" applyBorder="1" applyAlignment="1">
      <x:alignment horizontal="left" vertical="center"/>
    </x:xf>
    <x:xf numFmtId="202" fontId="1" fillId="3" borderId="0" xfId="0" applyNumberFormat="1" applyFont="1" applyFill="1" applyBorder="1" applyAlignment="1">
      <x:alignment horizontal="right" vertical="center"/>
    </x:xf>
    <x:xf numFmtId="202" fontId="1" fillId="3" borderId="0" xfId="0" applyNumberFormat="1" applyFont="1" applyFill="1" applyBorder="1" applyAlignment="1">
      <x:alignment horizontal="left" vertical="center"/>
    </x:xf>
    <x:xf numFmtId="200" fontId="1" fillId="3" borderId="0" xfId="0" applyNumberFormat="1" applyFont="1" applyFill="1" applyBorder="1" applyAlignment="1">
      <x:alignment vertical="center"/>
    </x:xf>
    <x:xf numFmtId="201" fontId="1" fillId="3" borderId="0" xfId="0" applyNumberFormat="1" applyFont="1" applyFill="1" applyBorder="1" applyAlignment="1">
      <x:alignment horizontal="left" vertical="center" wrapText="1"/>
    </x:xf>
    <x:xf numFmtId="201" fontId="4" fillId="3" borderId="0" xfId="0" applyNumberFormat="1" applyFont="1" applyFill="1" applyBorder="1" applyAlignment="1">
      <x:alignment horizontal="left" vertical="center"/>
    </x:xf>
    <x:xf numFmtId="202" fontId="4" fillId="3" borderId="0" xfId="0" applyNumberFormat="1" applyFont="1" applyFill="1" applyBorder="1" applyAlignment="1">
      <x:alignment horizontal="right" vertical="center"/>
    </x:xf>
    <x:xf numFmtId="202" fontId="4" fillId="3" borderId="0" xfId="0" applyNumberFormat="1" applyFont="1" applyFill="1" applyBorder="1" applyAlignment="1">
      <x:alignment horizontal="left" vertical="center"/>
    </x:xf>
    <x:xf numFmtId="200" fontId="4" fillId="3" borderId="0" xfId="0" applyNumberFormat="1" applyFont="1" applyFill="1" applyBorder="1" applyAlignment="1">
      <x:alignment vertical="center"/>
    </x:xf>
    <x:xf numFmtId="201" fontId="4" fillId="3" borderId="0" xfId="0" applyNumberFormat="1" applyFont="1" applyFill="1" applyBorder="1" applyAlignment="1">
      <x:alignment horizontal="left" vertical="center" wrapText="1"/>
    </x:xf>
    <x:xf numFmtId="202" fontId="4" fillId="3" borderId="0" xfId="0" applyNumberFormat="1" applyFont="1" applyFill="1" applyBorder="1" applyAlignment="1">
      <x:alignment horizontal="right" vertical="center" wrapText="1"/>
    </x:xf>
    <x:xf numFmtId="202" fontId="4" fillId="3" borderId="0" xfId="0" applyNumberFormat="1" applyFont="1" applyFill="1" applyBorder="1" applyAlignment="1">
      <x:alignment horizontal="left" vertical="center" wrapText="1"/>
    </x:xf>
    <x:xf numFmtId="200" fontId="4" fillId="3" borderId="0" xfId="0" applyNumberFormat="1" applyFont="1" applyFill="1" applyBorder="1" applyAlignment="1">
      <x:alignment vertical="center" wrapText="1"/>
    </x:xf>
    <x:xf numFmtId="201" fontId="4" fillId="3" borderId="0" xfId="0" applyNumberFormat="1" applyFont="1" applyFill="1" applyBorder="1" applyAlignment="1">
      <x:alignment horizontal="center" vertical="center" wrapText="1"/>
    </x:xf>
    <x:xf numFmtId="202" fontId="4" fillId="3" borderId="0" xfId="0" applyNumberFormat="1" applyFont="1" applyFill="1" applyBorder="1" applyAlignment="1">
      <x:alignment horizontal="center" vertical="center" wrapText="1"/>
    </x:xf>
    <x:xf numFmtId="200" fontId="4" fillId="3" borderId="0" xfId="0" applyNumberFormat="1" applyFont="1" applyFill="1" applyBorder="1" applyAlignment="1">
      <x:alignment horizontal="center" vertical="center" wrapText="1"/>
    </x:xf>
    <x:xf numFmtId="201" fontId="3" fillId="2" borderId="0" xfId="0" applyNumberFormat="1" applyFont="1" applyFill="1" applyBorder="1" applyAlignment="1">
      <x:alignment horizontal="left" vertical="center" wrapText="1"/>
    </x:xf>
    <x:xf numFmtId="201" fontId="3" fillId="2" borderId="0" xfId="0" applyNumberFormat="1" applyFont="1" applyFill="1" applyBorder="1" applyAlignment="1">
      <x:alignment horizontal="left" vertical="center" wrapText="0"/>
    </x:xf>
    <x:xf numFmtId="200" fontId="3" fillId="2" borderId="0" xfId="0" applyNumberFormat="1" applyFont="1" applyFill="1" applyBorder="1" applyAlignment="1">
      <x:alignment vertical="center" wrapText="0"/>
    </x:xf>
    <x:xf numFmtId="206" fontId="1" fillId="2" borderId="0" xfId="0" applyNumberFormat="1" applyFont="1" applyFill="1" applyBorder="1" applyAlignment="1">
      <x:alignment vertical="center"/>
    </x:xf>
    <x:xf numFmtId="206" fontId="1" fillId="2" borderId="0" xfId="0" applyNumberFormat="1" applyFont="1" applyFill="1" applyBorder="1" applyAlignment="1">
      <x:alignment horizontal="right" vertical="center"/>
    </x:xf>
    <x:xf numFmtId="207" fontId="1" fillId="2" borderId="0" xfId="0" applyNumberFormat="1" applyFont="1" applyFill="1" applyBorder="1" applyAlignment="1">
      <x:alignment vertical="center"/>
    </x:xf>
    <x:xf numFmtId="207" fontId="1" fillId="2" borderId="0" xfId="0" applyNumberFormat="1" applyFont="1" applyFill="1" applyBorder="1" applyAlignment="1">
      <x:alignment horizontal="right" vertical="center"/>
    </x:xf>
    <x:xf numFmtId="201" fontId="5" fillId="2" borderId="0" xfId="0" applyNumberFormat="1" applyFont="1" applyFill="1" applyBorder="1" applyAlignment="1">
      <x:alignment horizontal="left" vertical="center"/>
    </x:xf>
    <x:xf numFmtId="200" fontId="5" fillId="2" borderId="0" xfId="0" applyNumberFormat="1" applyFont="1" applyFill="1" applyBorder="1" applyAlignment="1">
      <x:alignment vertical="center"/>
    </x:xf>
    <x:xf numFmtId="201" fontId="5" fillId="2" borderId="0" xfId="0" applyNumberFormat="1" applyFont="1" applyFill="1" applyBorder="1" applyAlignment="1">
      <x:alignment horizontal="left" vertical="center" wrapText="1"/>
    </x:xf>
    <x:xf numFmtId="200" fontId="5" fillId="2" borderId="0" xfId="0" applyNumberFormat="1" applyFont="1" applyFill="1" applyBorder="1" applyAlignment="1">
      <x:alignment vertical="center" wrapText="1"/>
    </x:xf>
    <x:xf numFmtId="200" fontId="5" fillId="2" borderId="0" xfId="0" applyNumberFormat="1" applyFont="1" applyFill="1" applyBorder="1" applyAlignment="1">
      <x:alignment horizontal="left" vertical="center" wrapText="1"/>
    </x:xf>
    <x:xf numFmtId="201" fontId="5" fillId="4" borderId="0" xfId="0" applyNumberFormat="1" applyFont="1" applyFill="1" applyBorder="1" applyAlignment="1">
      <x:alignment horizontal="left" vertical="center" wrapText="1"/>
    </x:xf>
    <x:xf numFmtId="200" fontId="5" fillId="4" borderId="0" xfId="0" applyNumberFormat="1" applyFont="1" applyFill="1" applyBorder="1" applyAlignment="1">
      <x:alignment horizontal="left" vertical="center" wrapText="1"/>
    </x:xf>
    <x:xf numFmtId="201" fontId="5" fillId="4" borderId="0" xfId="0" applyNumberFormat="1" applyFont="1" applyFill="1" applyBorder="1" applyAlignment="1">
      <x:alignment horizontal="left" vertical="center" wrapText="0"/>
    </x:xf>
    <x:xf numFmtId="200" fontId="5" fillId="4" borderId="0" xfId="0" applyNumberFormat="1" applyFont="1" applyFill="1" applyBorder="1" applyAlignment="1">
      <x:alignment horizontal="left" vertical="center" wrapText="0"/>
    </x:xf>
    <x:xf numFmtId="205" fontId="1" fillId="3" borderId="0" xfId="0" applyNumberFormat="1" applyFont="1" applyFill="1" applyBorder="1" applyAlignment="1">
      <x:alignment horizontal="right" vertical="center"/>
    </x:xf>
    <x:xf numFmtId="206" fontId="1" fillId="3" borderId="0" xfId="0" applyNumberFormat="1" applyFont="1" applyFill="1" applyBorder="1" applyAlignment="1">
      <x:alignment horizontal="right" vertical="center"/>
    </x:xf>
    <x:xf numFmtId="205" fontId="4" fillId="3" borderId="0" xfId="0" applyNumberFormat="1" applyFont="1" applyFill="1" applyBorder="1" applyAlignment="1">
      <x:alignment horizontal="right" vertical="center"/>
    </x:xf>
    <x:xf numFmtId="206" fontId="4" fillId="3" borderId="0" xfId="0" applyNumberFormat="1" applyFont="1" applyFill="1" applyBorder="1" applyAlignment="1">
      <x:alignment horizontal="right" vertical="center"/>
    </x:xf>
    <x:xf numFmtId="205" fontId="4" fillId="3" borderId="0" xfId="0" applyNumberFormat="1" applyFont="1" applyFill="1" applyBorder="1" applyAlignment="1">
      <x:alignment horizontal="right" vertical="center" wrapText="1"/>
    </x:xf>
    <x:xf numFmtId="206" fontId="4" fillId="3" borderId="0" xfId="0" applyNumberFormat="1" applyFont="1" applyFill="1" applyBorder="1" applyAlignment="1">
      <x:alignment horizontal="right" vertical="center" wrapText="1"/>
    </x:xf>
    <x:xf numFmtId="205" fontId="4" fillId="3" borderId="0" xfId="0" applyNumberFormat="1" applyFont="1" applyFill="1" applyBorder="1" applyAlignment="1">
      <x:alignment horizontal="center" vertical="center" wrapText="1"/>
    </x:xf>
    <x:xf numFmtId="206" fontId="4" fillId="3" borderId="0" xfId="0" applyNumberFormat="1" applyFont="1" applyFill="1" applyBorder="1" applyAlignment="1">
      <x:alignment horizontal="center" vertical="center" wrapText="1"/>
    </x:xf>
    <x:xf numFmtId="208" fontId="1" fillId="2" borderId="0" xfId="0" applyNumberFormat="1" applyFont="1" applyFill="1" applyBorder="1" applyAlignment="1">
      <x:alignment vertical="center"/>
    </x:xf>
    <x:xf numFmtId="208" fontId="1" fillId="2" borderId="0" xfId="0" applyNumberFormat="1" applyFont="1" applyFill="1" applyBorder="1" applyAlignment="1">
      <x:alignment horizontal="right" vertical="center"/>
    </x:xf>
    <x:xf numFmtId="209" fontId="1" fillId="2" borderId="0" xfId="0" applyNumberFormat="1" applyFont="1" applyFill="1" applyBorder="1" applyAlignment="1">
      <x:alignment vertical="center"/>
    </x:xf>
    <x:xf numFmtId="209" fontId="1" fillId="2" borderId="0" xfId="0" applyNumberFormat="1" applyFont="1" applyFill="1" applyBorder="1" applyAlignment="1">
      <x:alignment horizontal="right" vertical="center"/>
    </x:xf>
    <x:xf numFmtId="210" fontId="1" fillId="2" borderId="0" xfId="0" applyNumberFormat="1" applyFont="1" applyFill="1" applyBorder="1" applyAlignment="1">
      <x:alignment vertical="center"/>
    </x:xf>
    <x:xf numFmtId="210" fontId="1" fillId="2" borderId="0" xfId="0" applyNumberFormat="1" applyFont="1" applyFill="1" applyBorder="1" applyAlignment="1">
      <x:alignment horizontal="right" vertical="center"/>
    </x:xf>
    <x:xf numFmtId="208" fontId="1" fillId="3" borderId="0" xfId="0" applyNumberFormat="1" applyFont="1" applyFill="1" applyBorder="1" applyAlignment="1">
      <x:alignment horizontal="right" vertical="center"/>
    </x:xf>
    <x:xf numFmtId="209" fontId="1" fillId="3" borderId="0" xfId="0" applyNumberFormat="1" applyFont="1" applyFill="1" applyBorder="1" applyAlignment="1">
      <x:alignment horizontal="right" vertical="center"/>
    </x:xf>
    <x:xf numFmtId="203" fontId="1" fillId="3" borderId="0" xfId="0" applyNumberFormat="1" applyFont="1" applyFill="1" applyBorder="1" applyAlignment="1">
      <x:alignment horizontal="right" vertical="center"/>
    </x:xf>
    <x:xf numFmtId="208" fontId="4" fillId="3" borderId="0" xfId="0" applyNumberFormat="1" applyFont="1" applyFill="1" applyBorder="1" applyAlignment="1">
      <x:alignment horizontal="right" vertical="center"/>
    </x:xf>
    <x:xf numFmtId="209" fontId="4" fillId="3" borderId="0" xfId="0" applyNumberFormat="1" applyFont="1" applyFill="1" applyBorder="1" applyAlignment="1">
      <x:alignment horizontal="right" vertical="center"/>
    </x:xf>
    <x:xf numFmtId="203" fontId="4" fillId="3" borderId="0" xfId="0" applyNumberFormat="1" applyFont="1" applyFill="1" applyBorder="1" applyAlignment="1">
      <x:alignment horizontal="right" vertical="center"/>
    </x:xf>
    <x:xf numFmtId="208" fontId="4" fillId="3" borderId="0" xfId="0" applyNumberFormat="1" applyFont="1" applyFill="1" applyBorder="1" applyAlignment="1">
      <x:alignment horizontal="right" vertical="center" wrapText="1"/>
    </x:xf>
    <x:xf numFmtId="209" fontId="4" fillId="3" borderId="0" xfId="0" applyNumberFormat="1" applyFont="1" applyFill="1" applyBorder="1" applyAlignment="1">
      <x:alignment horizontal="right" vertical="center" wrapText="1"/>
    </x:xf>
    <x:xf numFmtId="203" fontId="4" fillId="3" borderId="0" xfId="0" applyNumberFormat="1" applyFont="1" applyFill="1" applyBorder="1" applyAlignment="1">
      <x:alignment horizontal="right" vertical="center" wrapText="1"/>
    </x:xf>
    <x:xf numFmtId="208" fontId="4" fillId="3" borderId="0" xfId="0" applyNumberFormat="1" applyFont="1" applyFill="1" applyBorder="1" applyAlignment="1">
      <x:alignment horizontal="center" vertical="center" wrapText="1"/>
    </x:xf>
    <x:xf numFmtId="209" fontId="4" fillId="3" borderId="0" xfId="0" applyNumberFormat="1" applyFont="1" applyFill="1" applyBorder="1" applyAlignment="1">
      <x:alignment horizontal="center" vertical="center" wrapText="1"/>
    </x:xf>
    <x:xf numFmtId="203" fontId="4" fillId="3" borderId="0" xfId="0" applyNumberFormat="1" applyFont="1" applyFill="1" applyBorder="1" applyAlignment="1">
      <x:alignment horizontal="center" vertical="center" wrapText="1"/>
    </x:xf>
    <x:xf numFmtId="211" fontId="4" fillId="3" borderId="0" xfId="0" applyNumberFormat="1" applyFont="1" applyFill="1" applyBorder="1" applyAlignment="1">
      <x:alignment horizontal="center" vertical="center" wrapText="1"/>
    </x:xf>
    <x:xf numFmtId="211" fontId="1" fillId="2" borderId="0" xfId="0" applyNumberFormat="1" applyFont="1" applyFill="1" applyBorder="1" applyAlignment="1">
      <x:alignment horizontal="right" vertical="center"/>
    </x:xf>
    <x:xf numFmtId="200" fontId="6" fillId="2" borderId="0" xfId="0" applyNumberFormat="1" applyFont="1" applyFill="1" applyBorder="1" applyAlignment="1">
      <x:alignment vertical="center"/>
    </x:xf>
    <x:xf numFmtId="205" fontId="6" fillId="2" borderId="0" xfId="0" applyNumberFormat="1" applyFont="1" applyFill="1" applyBorder="1" applyAlignment="1">
      <x:alignment vertical="center"/>
    </x:xf>
    <x:xf numFmtId="205" fontId="6" fillId="2" borderId="0" xfId="0" applyNumberFormat="1" applyFont="1" applyFill="1" applyBorder="1" applyAlignment="1">
      <x:alignment horizontal="right" vertical="center"/>
    </x:xf>
    <x:xf numFmtId="202" fontId="6" fillId="2" borderId="0" xfId="0" applyNumberFormat="1" applyFont="1" applyFill="1" applyBorder="1" applyAlignment="1">
      <x:alignment vertical="center"/>
    </x:xf>
    <x:xf numFmtId="202" fontId="6" fillId="2" borderId="0" xfId="0" applyNumberFormat="1" applyFont="1" applyFill="1" applyBorder="1" applyAlignment="1">
      <x:alignment horizontal="right" vertical="center"/>
    </x:xf>
    <x:xf numFmtId="200" fontId="7" fillId="2" borderId="0" xfId="0" applyNumberFormat="1" applyFont="1" applyFill="1" applyBorder="1" applyAlignment="1">
      <x:alignment vertical="center"/>
    </x:xf>
    <x:xf numFmtId="201" fontId="7" fillId="2" borderId="0" xfId="0" applyNumberFormat="1" applyFont="1" applyFill="1" applyBorder="1" applyAlignment="1">
      <x:alignment vertical="center"/>
    </x:xf>
    <x:xf numFmtId="201" fontId="7" fillId="2" borderId="0" xfId="0" applyNumberFormat="1" applyFont="1" applyFill="1" applyBorder="1" applyAlignment="1">
      <x:alignment horizontal="right" vertical="center"/>
    </x:xf>
    <x:xf numFmtId="200" fontId="8" fillId="2" borderId="0" xfId="0" applyNumberFormat="1" applyFont="1" applyFill="1" applyBorder="1" applyAlignment="1">
      <x:alignment vertical="center"/>
    </x:xf>
    <x:xf numFmtId="206" fontId="8" fillId="2" borderId="0" xfId="0" applyNumberFormat="1" applyFont="1" applyFill="1" applyBorder="1" applyAlignment="1">
      <x:alignment vertical="center"/>
    </x:xf>
    <x:xf numFmtId="206" fontId="8" fillId="2" borderId="0" xfId="0" applyNumberFormat="1" applyFont="1" applyFill="1" applyBorder="1" applyAlignment="1">
      <x:alignment horizontal="right" vertical="center"/>
    </x:xf>
    <x:xf numFmtId="201" fontId="6" fillId="2" borderId="0" xfId="0" applyNumberFormat="1" applyFont="1" applyFill="1" applyBorder="1" applyAlignment="1">
      <x:alignment vertical="center"/>
    </x:xf>
    <x:xf numFmtId="201" fontId="6" fillId="2" borderId="0" xfId="0" applyNumberFormat="1" applyFont="1" applyFill="1" applyBorder="1" applyAlignment="1">
      <x:alignment horizontal="right" vertical="center"/>
    </x:xf>
    <x:xf numFmtId="206" fontId="7" fillId="2" borderId="0" xfId="0" applyNumberFormat="1" applyFont="1" applyFill="1" applyBorder="1" applyAlignment="1">
      <x:alignment vertical="center"/>
    </x:xf>
    <x:xf numFmtId="206" fontId="7" fillId="2" borderId="0" xfId="0" applyNumberFormat="1" applyFont="1" applyFill="1" applyBorder="1" applyAlignment="1">
      <x:alignment horizontal="right" vertical="center"/>
    </x:xf>
    <x:xf numFmtId="212" fontId="6" fillId="2" borderId="0" xfId="0" applyNumberFormat="1" applyFont="1" applyFill="1" applyBorder="1" applyAlignment="1">
      <x:alignment vertical="center"/>
    </x:xf>
    <x:xf numFmtId="212" fontId="6" fillId="2" borderId="0" xfId="0" applyNumberFormat="1" applyFont="1" applyFill="1" applyBorder="1" applyAlignment="1">
      <x:alignment horizontal="right" vertical="center"/>
    </x:xf>
    <x:xf numFmtId="206" fontId="6" fillId="2" borderId="0" xfId="0" applyNumberFormat="1" applyFont="1" applyFill="1" applyBorder="1" applyAlignment="1">
      <x:alignment vertical="center"/>
    </x:xf>
    <x:xf numFmtId="206" fontId="6" fillId="2" borderId="0" xfId="0" applyNumberFormat="1" applyFont="1" applyFill="1" applyBorder="1" applyAlignment="1">
      <x:alignment horizontal="right" vertical="center"/>
    </x:xf>
    <x:xf numFmtId="213" fontId="6" fillId="2" borderId="0" xfId="0" applyNumberFormat="1" applyFont="1" applyFill="1" applyBorder="1" applyAlignment="1">
      <x:alignment vertical="center"/>
    </x:xf>
    <x:xf numFmtId="213" fontId="6" fillId="2" borderId="0" xfId="0" applyNumberFormat="1" applyFont="1" applyFill="1" applyBorder="1" applyAlignment="1">
      <x:alignment horizontal="right" vertical="center"/>
    </x:xf>
    <x:xf numFmtId="203" fontId="6" fillId="2" borderId="0" xfId="0" applyNumberFormat="1" applyFont="1" applyFill="1" applyBorder="1" applyAlignment="1">
      <x:alignment vertical="center"/>
    </x:xf>
    <x:xf numFmtId="203" fontId="6" fillId="2" borderId="0" xfId="0" applyNumberFormat="1" applyFont="1" applyFill="1" applyBorder="1" applyAlignment="1">
      <x:alignment horizontal="right" vertical="center"/>
    </x:xf>
    <x:xf numFmtId="208" fontId="7" fillId="2" borderId="0" xfId="0" applyNumberFormat="1" applyFont="1" applyFill="1" applyBorder="1" applyAlignment="1">
      <x:alignment vertical="center"/>
    </x:xf>
    <x:xf numFmtId="208" fontId="7" fillId="2" borderId="0" xfId="0" applyNumberFormat="1" applyFont="1" applyFill="1" applyBorder="1" applyAlignment="1">
      <x:alignment horizontal="right" vertical="center"/>
    </x:xf>
    <x:xf numFmtId="208" fontId="6" fillId="2" borderId="0" xfId="0" applyNumberFormat="1" applyFont="1" applyFill="1" applyBorder="1" applyAlignment="1">
      <x:alignment vertical="center"/>
    </x:xf>
    <x:xf numFmtId="208" fontId="6" fillId="2" borderId="0" xfId="0" applyNumberFormat="1" applyFont="1" applyFill="1" applyBorder="1" applyAlignment="1">
      <x:alignment horizontal="right" vertical="center"/>
    </x:xf>
    <x:xf numFmtId="207" fontId="6" fillId="2" borderId="0" xfId="0" applyNumberFormat="1" applyFont="1" applyFill="1" applyBorder="1" applyAlignment="1">
      <x:alignment vertical="center"/>
    </x:xf>
    <x:xf numFmtId="207" fontId="6" fillId="2" borderId="0" xfId="0" applyNumberFormat="1" applyFont="1" applyFill="1" applyBorder="1" applyAlignment="1">
      <x:alignment horizontal="right" vertical="center"/>
    </x:xf>
    <x:xf numFmtId="208" fontId="8" fillId="2" borderId="0" xfId="0" applyNumberFormat="1" applyFont="1" applyFill="1" applyBorder="1" applyAlignment="1">
      <x:alignment vertical="center"/>
    </x:xf>
    <x:xf numFmtId="208" fontId="8" fillId="2" borderId="0" xfId="0" applyNumberFormat="1" applyFont="1" applyFill="1" applyBorder="1" applyAlignment="1">
      <x:alignment horizontal="right" vertical="center"/>
    </x:xf>
    <x:xf numFmtId="200" fontId="1" fillId="2" borderId="0" xfId="0" applyNumberFormat="1" applyFont="1" applyFill="1" applyBorder="1" applyAlignment="1">
      <x:alignment horizontal="left" vertical="center"/>
    </x:xf>
    <x:xf numFmtId="200" fontId="1" fillId="2" borderId="0" xfId="0" applyNumberFormat="1" applyFont="1" applyFill="1" applyBorder="1" applyAlignment="1">
      <x:alignment horizontal="left" vertical="center" wrapText="1"/>
    </x:xf>
    <x:xf numFmtId="200" fontId="6" fillId="2" borderId="0" xfId="0" applyNumberFormat="1" applyFont="1" applyFill="1" applyBorder="1" applyAlignment="1">
      <x:alignment horizontal="right" vertical="center"/>
    </x:xf>
    <x:xf numFmtId="205" fontId="6" fillId="3" borderId="0" xfId="0" applyNumberFormat="1" applyFont="1" applyFill="1" applyBorder="1" applyAlignment="1">
      <x:alignment horizontal="right" vertical="center"/>
    </x:xf>
    <x:xf numFmtId="201" fontId="3" fillId="3" borderId="0" xfId="0" applyNumberFormat="1" applyFont="1" applyFill="1" applyBorder="1" applyAlignment="1">
      <x:alignment horizontal="center" vertical="center" wrapText="1"/>
    </x:xf>
    <x:xf numFmtId="200" fontId="3" fillId="3" borderId="0" xfId="0" applyNumberFormat="1" applyFont="1" applyFill="1" applyBorder="1" applyAlignment="1">
      <x:alignment horizontal="center" vertical="center" wrapText="1"/>
    </x:xf>
    <x:xf numFmtId="201" fontId="3" fillId="3" borderId="0" xfId="0" applyNumberFormat="1" applyFont="1" applyFill="1" applyBorder="1" applyAlignment="1">
      <x:alignment horizontal="left" vertical="center" wrapText="1"/>
    </x:xf>
    <x:xf numFmtId="200" fontId="3" fillId="3" borderId="0" xfId="0" applyNumberFormat="1" applyFont="1" applyFill="1" applyBorder="1" applyAlignment="1">
      <x:alignment horizontal="left" vertical="center" wrapText="1"/>
    </x:xf>
    <x:xf numFmtId="201" fontId="3" fillId="2" borderId="0" xfId="0" applyNumberFormat="1" applyFont="1" applyFill="1" applyBorder="1" applyAlignment="1">
      <x:alignment horizontal="lef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left" vertical="center" wrapText="1"/>
    </x:xf>
    <x:xf numFmtId="211" fontId="6" fillId="2" borderId="0" xfId="0" applyNumberFormat="1" applyFont="1" applyFill="1" applyBorder="1" applyAlignment="1">
      <x:alignment horizontal="right" vertical="center"/>
    </x:xf>
    <x:xf numFmtId="203" fontId="7" fillId="2" borderId="0" xfId="0" applyNumberFormat="1" applyFont="1" applyFill="1" applyBorder="1" applyAlignment="1">
      <x:alignment vertical="center"/>
    </x:xf>
    <x:xf numFmtId="203" fontId="7" fillId="2" borderId="0" xfId="0" applyNumberFormat="1" applyFont="1" applyFill="1" applyBorder="1" applyAlignment="1">
      <x:alignment horizontal="right" vertical="center"/>
    </x:xf>
    <x:xf numFmtId="200" fontId="1" fillId="2" borderId="0" xfId="0" applyNumberFormat="1" applyFont="1" applyFill="1" applyBorder="1" applyAlignment="1">
      <x:alignment vertical="center" wrapText="1"/>
    </x:xf>
    <x:xf numFmtId="203" fontId="8" fillId="2" borderId="0" xfId="0" applyNumberFormat="1" applyFont="1" applyFill="1" applyBorder="1" applyAlignment="1">
      <x:alignment vertical="center"/>
    </x:xf>
    <x:xf numFmtId="203" fontId="8" fillId="2" borderId="0" xfId="0" applyNumberFormat="1" applyFont="1" applyFill="1" applyBorder="1" applyAlignment="1">
      <x:alignment horizontal="right" vertical="center"/>
    </x:xf>
    <x:xf numFmtId="202" fontId="8" fillId="2" borderId="0" xfId="0" applyNumberFormat="1" applyFont="1" applyFill="1" applyBorder="1" applyAlignment="1">
      <x:alignment vertical="center"/>
    </x:xf>
    <x:xf numFmtId="202" fontId="8" fillId="2" borderId="0" xfId="0" applyNumberFormat="1" applyFont="1" applyFill="1" applyBorder="1" applyAlignment="1">
      <x:alignment horizontal="right" vertical="center"/>
    </x:xf>
    <x:xf numFmtId="202" fontId="7" fillId="2" borderId="0" xfId="0" applyNumberFormat="1" applyFont="1" applyFill="1" applyBorder="1" applyAlignment="1">
      <x:alignment vertical="center"/>
    </x:xf>
    <x:xf numFmtId="202" fontId="7" fillId="2" borderId="0" xfId="0" applyNumberFormat="1" applyFont="1" applyFill="1" applyBorder="1" applyAlignment="1">
      <x:alignment horizontal="right" vertical="center"/>
    </x:xf>
    <x:xf numFmtId="207" fontId="7" fillId="2" borderId="0" xfId="0" applyNumberFormat="1" applyFont="1" applyFill="1" applyBorder="1" applyAlignment="1">
      <x:alignment vertical="center"/>
    </x:xf>
    <x:xf numFmtId="207" fontId="7" fillId="2" borderId="0" xfId="0" applyNumberFormat="1" applyFont="1" applyFill="1" applyBorder="1" applyAlignment="1">
      <x:alignment horizontal="right" vertical="center"/>
    </x:xf>
    <x:xf numFmtId="214" fontId="7" fillId="2" borderId="0" xfId="0" applyNumberFormat="1" applyFont="1" applyFill="1" applyBorder="1" applyAlignment="1">
      <x:alignment vertical="center"/>
    </x:xf>
    <x:xf numFmtId="214" fontId="7" fillId="2" borderId="0" xfId="0" applyNumberFormat="1" applyFont="1" applyFill="1" applyBorder="1" applyAlignment="1">
      <x:alignment horizontal="right" vertical="center"/>
    </x:xf>
    <x:xf numFmtId="205" fontId="8" fillId="2" borderId="0" xfId="0" applyNumberFormat="1" applyFont="1" applyFill="1" applyBorder="1" applyAlignment="1">
      <x:alignment vertical="center"/>
    </x:xf>
    <x:xf numFmtId="205" fontId="8" fillId="2" borderId="0" xfId="0" applyNumberFormat="1" applyFont="1" applyFill="1" applyBorder="1" applyAlignment="1">
      <x:alignment horizontal="right" vertical="center"/>
    </x:xf>
    <x:xf numFmtId="215" fontId="7" fillId="2" borderId="0" xfId="0" applyNumberFormat="1" applyFont="1" applyFill="1" applyBorder="1" applyAlignment="1">
      <x:alignment vertical="center"/>
    </x:xf>
    <x:xf numFmtId="215" fontId="7" fillId="2" borderId="0" xfId="0" applyNumberFormat="1" applyFont="1" applyFill="1" applyBorder="1" applyAlignment="1">
      <x:alignment horizontal="right" vertical="center"/>
    </x:xf>
    <x:xf numFmtId="213" fontId="7" fillId="2" borderId="0" xfId="0" applyNumberFormat="1" applyFont="1" applyFill="1" applyBorder="1" applyAlignment="1">
      <x:alignment vertical="center"/>
    </x:xf>
    <x:xf numFmtId="213" fontId="7" fillId="2" borderId="0" xfId="0" applyNumberFormat="1" applyFont="1" applyFill="1" applyBorder="1" applyAlignment="1">
      <x:alignment horizontal="right" vertical="center"/>
    </x:xf>
    <x:xf numFmtId="213" fontId="8" fillId="2" borderId="0" xfId="0" applyNumberFormat="1" applyFont="1" applyFill="1" applyBorder="1" applyAlignment="1">
      <x:alignment vertical="center"/>
    </x:xf>
    <x:xf numFmtId="213" fontId="8" fillId="2" borderId="0" xfId="0" applyNumberFormat="1" applyFont="1" applyFill="1" applyBorder="1" applyAlignment="1">
      <x:alignment horizontal="right" vertical="center"/>
    </x:xf>
    <x:xf numFmtId="200" fontId="8" fillId="2" borderId="0" xfId="0" applyNumberFormat="1" applyFont="1" applyFill="1" applyBorder="1" applyAlignment="1">
      <x:alignment horizontal="right" vertical="center"/>
    </x:xf>
    <x:xf numFmtId="200" fontId="7" fillId="2" borderId="0" xfId="0" applyNumberFormat="1" applyFont="1" applyFill="1" applyBorder="1" applyAlignment="1">
      <x:alignment horizontal="right" vertical="center"/>
    </x:xf>
    <x:xf numFmtId="201" fontId="6" fillId="3" borderId="0" xfId="0" applyNumberFormat="1" applyFont="1" applyFill="1" applyBorder="1" applyAlignment="1">
      <x:alignment horizontal="right" vertical="center"/>
    </x:xf>
    <x:xf numFmtId="201" fontId="4" fillId="3" borderId="0" xfId="0" applyNumberFormat="1" applyFont="1" applyFill="1" applyBorder="1" applyAlignment="1">
      <x:alignment horizontal="right" vertical="center"/>
    </x:xf>
    <x:xf numFmtId="201" fontId="4" fillId="3" borderId="0" xfId="0" applyNumberFormat="1" applyFont="1" applyFill="1" applyBorder="1" applyAlignment="1">
      <x:alignment horizontal="right" vertical="center" wrapText="1"/>
    </x:xf>
    <x:xf numFmtId="216" fontId="6" fillId="2" borderId="0" xfId="0" applyNumberFormat="1" applyFont="1" applyFill="1" applyBorder="1" applyAlignment="1">
      <x:alignment vertical="center"/>
    </x:xf>
    <x:xf numFmtId="216" fontId="6" fillId="2" borderId="0" xfId="0" applyNumberFormat="1" applyFont="1" applyFill="1" applyBorder="1" applyAlignment="1">
      <x:alignment horizontal="right" vertical="center"/>
    </x:xf>
    <x:xf numFmtId="216" fontId="7" fillId="2" borderId="0" xfId="0" applyNumberFormat="1" applyFont="1" applyFill="1" applyBorder="1" applyAlignment="1">
      <x:alignment vertical="center"/>
    </x:xf>
    <x:xf numFmtId="216" fontId="7" fillId="2" borderId="0" xfId="0" applyNumberFormat="1" applyFont="1" applyFill="1" applyBorder="1" applyAlignment="1">
      <x:alignment horizontal="right" vertical="center"/>
    </x:xf>
    <x:xf numFmtId="203" fontId="6" fillId="2" borderId="0" xfId="0" applyNumberFormat="1" applyFont="1" applyFill="1" applyBorder="1" applyAlignment="1">
      <x:alignment horizontal="right" vertical="center" wrapText="1"/>
    </x:xf>
    <x:xf numFmtId="216" fontId="6" fillId="2" borderId="0" xfId="0" applyNumberFormat="1" applyFont="1" applyFill="1" applyBorder="1" applyAlignment="1">
      <x:alignment horizontal="right" vertical="center" wrapText="1"/>
    </x:xf>
    <x:xf numFmtId="216" fontId="7" fillId="2" borderId="0" xfId="0" applyNumberFormat="1" applyFont="1" applyFill="1" applyBorder="1" applyAlignment="1">
      <x:alignment horizontal="right" vertical="center" wrapText="1"/>
    </x:xf>
    <x:xf numFmtId="203" fontId="8" fillId="2" borderId="0" xfId="0" applyNumberFormat="1" applyFont="1" applyFill="1" applyBorder="1" applyAlignment="1">
      <x:alignment horizontal="right" vertical="center" wrapText="1"/>
    </x:xf>
    <x:xf numFmtId="206" fontId="7" fillId="2" borderId="0" xfId="0" applyNumberFormat="1" applyFont="1" applyFill="1" applyBorder="1" applyAlignment="1">
      <x:alignment horizontal="right" vertical="center" wrapText="1"/>
    </x:xf>
    <x:xf numFmtId="203" fontId="7" fillId="2" borderId="0" xfId="0" applyNumberFormat="1" applyFont="1" applyFill="1" applyBorder="1" applyAlignment="1">
      <x:alignment horizontal="right" vertical="center" wrapText="1"/>
    </x:xf>
    <x:xf numFmtId="206" fontId="1" fillId="2" borderId="0" xfId="0" applyNumberFormat="1" applyFont="1" applyFill="1" applyBorder="1" applyAlignment="1">
      <x:alignment horizontal="left" vertical="center"/>
    </x:xf>
    <x:xf numFmtId="207" fontId="8" fillId="2" borderId="0" xfId="0" applyNumberFormat="1" applyFont="1" applyFill="1" applyBorder="1" applyAlignment="1">
      <x:alignment vertical="center"/>
    </x:xf>
    <x:xf numFmtId="207" fontId="8" fillId="2" borderId="0" xfId="0" applyNumberFormat="1" applyFont="1" applyFill="1" applyBorder="1" applyAlignment="1">
      <x:alignment horizontal="right" vertical="center"/>
    </x:xf>
    <x:xf numFmtId="207" fontId="1" fillId="2" borderId="0" xfId="0" applyNumberFormat="1" applyFont="1" applyFill="1" applyBorder="1" applyAlignment="1">
      <x:alignment horizontal="left" vertical="center"/>
    </x:xf>
    <x:xf numFmtId="201" fontId="2" fillId="2" borderId="0" xfId="0" applyNumberFormat="1" applyFont="1" applyFill="1" applyBorder="1" applyAlignment="1">
      <x:alignment horizontal="left" vertical="center"/>
    </x:xf>
    <x:xf numFmtId="201" fontId="2" fillId="2" borderId="0" xfId="0" applyNumberFormat="1" applyFont="1" applyFill="1" applyBorder="1" applyAlignment="1">
      <x:alignment horizontal="left" vertical="center" wrapText="1"/>
    </x:xf>
    <x:xf numFmtId="201" fontId="2" fillId="2" borderId="0" xfId="0" applyNumberFormat="1" applyFont="1" applyFill="1" applyBorder="1" applyAlignment="1">
      <x:alignment horizontal="left" vertical="center" wrapText="0"/>
    </x:xf>
    <x:xf numFmtId="200" fontId="9" fillId="2" borderId="0" xfId="0" applyNumberFormat="1" applyFont="1" applyFill="1" applyBorder="1" applyAlignment="1">
      <x:alignment vertical="center"/>
    </x:xf>
    <x:xf numFmtId="200" fontId="9" fillId="2" borderId="0" xfId="0" applyNumberFormat="1" applyFont="1" applyFill="1" applyBorder="1" applyAlignment="1">
      <x:alignment vertical="center" wrapText="1"/>
    </x:xf>
    <x:xf numFmtId="200" fontId="9" fillId="2" borderId="0" xfId="0" applyNumberFormat="1" applyFont="1" applyFill="1" applyBorder="1" applyAlignment="1">
      <x:alignment horizontal="left" vertical="center" wrapText="1"/>
    </x:xf>
    <x:xf numFmtId="200" fontId="9" fillId="2" borderId="0" xfId="0" applyNumberFormat="1" applyFont="1" applyFill="1" applyBorder="1" applyAlignment="1">
      <x:alignment horizontal="left" vertical="center" wrapText="0"/>
    </x:xf>
    <x:xf numFmtId="217" fontId="1" fillId="2" borderId="0" xfId="0" applyNumberFormat="1" applyFont="1" applyFill="1" applyBorder="1" applyAlignment="1">
      <x:alignment vertical="center"/>
    </x:xf>
    <x:xf numFmtId="211" fontId="1" fillId="2" borderId="0" xfId="0" applyNumberFormat="1" applyFont="1" applyFill="1" applyBorder="1" applyAlignment="1">
      <x:alignment vertical="center"/>
    </x:xf>
    <x:xf numFmtId="200" fontId="1" fillId="5" borderId="0" xfId="0" applyNumberFormat="1" applyFont="1" applyFill="1" applyBorder="1" applyAlignment="1">
      <x:alignment vertical="center"/>
    </x:xf>
    <x:xf numFmtId="217" fontId="1"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217" fontId="4" fillId="5" borderId="0" xfId="0" applyNumberFormat="1" applyFont="1" applyFill="1" applyBorder="1" applyAlignment="1">
      <x:alignment vertical="center"/>
    </x:xf>
    <x:xf numFmtId="200" fontId="10" fillId="2" borderId="0" xfId="0" applyNumberFormat="1" applyFont="1" applyFill="1" applyBorder="1" applyAlignment="1">
      <x:alignment vertical="center"/>
    </x:xf>
    <x:xf numFmtId="200" fontId="10" fillId="2" borderId="0" xfId="0" applyNumberFormat="1" applyFont="1" applyFill="1" applyBorder="1" applyAlignment="1">
      <x:alignment vertical="center" wrapText="1"/>
    </x:xf>
    <x:xf numFmtId="200" fontId="10" fillId="2" borderId="0" xfId="0" applyNumberFormat="1" applyFont="1" applyFill="1" applyBorder="1" applyAlignment="1">
      <x:alignment horizontal="left" vertical="center" wrapText="1"/>
    </x:xf>
    <x:xf numFmtId="200" fontId="10" fillId="2" borderId="0" xfId="0" applyNumberFormat="1" applyFont="1" applyFill="1" applyBorder="1" applyAlignment="1">
      <x:alignment horizontal="left" vertical="center" wrapText="0"/>
    </x:xf>
    <x:xf numFmtId="211" fontId="1" fillId="3" borderId="0" xfId="0" applyNumberFormat="1" applyFont="1" applyFill="1" applyBorder="1" applyAlignment="1">
      <x:alignment horizontal="right" vertical="center"/>
    </x:xf>
    <x:xf numFmtId="211" fontId="4" fillId="3" borderId="0" xfId="0" applyNumberFormat="1" applyFont="1" applyFill="1" applyBorder="1" applyAlignment="1">
      <x:alignment horizontal="right" vertical="center"/>
    </x:xf>
    <x:xf numFmtId="217" fontId="1" fillId="2" borderId="0" xfId="0" applyNumberFormat="1" applyFont="1" applyFill="1" applyBorder="1" applyAlignment="1">
      <x:alignment horizontal="right" vertical="center"/>
    </x:xf>
    <x:xf numFmtId="217" fontId="1" fillId="2" borderId="1" xfId="0" applyNumberFormat="1" applyFont="1" applyFill="1" applyBorder="1" applyAlignment="1">
      <x:alignment horizontal="right" vertical="center"/>
    </x:xf>
    <x:xf numFmtId="218" fontId="1" fillId="2" borderId="0" xfId="0" applyNumberFormat="1" applyFont="1" applyFill="1" applyBorder="1" applyAlignment="1">
      <x:alignment horizontal="right" vertical="center"/>
    </x:xf>
    <x:xf numFmtId="208" fontId="6" fillId="2" borderId="0" xfId="0" applyNumberFormat="1" applyFont="1" applyFill="1" applyBorder="1" applyAlignment="1">
      <x:alignment horizontal="right" vertical="center" wrapText="1"/>
    </x:xf>
    <x:xf numFmtId="208" fontId="8" fillId="2" borderId="0" xfId="0" applyNumberFormat="1" applyFont="1" applyFill="1" applyBorder="1" applyAlignment="1">
      <x:alignment horizontal="right" vertical="center" wrapText="1"/>
    </x:xf>
    <x:xf numFmtId="208" fontId="7" fillId="2" borderId="0" xfId="0" applyNumberFormat="1" applyFont="1" applyFill="1" applyBorder="1" applyAlignment="1">
      <x:alignment horizontal="right" vertical="center" wrapText="1"/>
    </x:xf>
    <x:xf numFmtId="219" fontId="6" fillId="2" borderId="0" xfId="0" applyNumberFormat="1" applyFont="1" applyFill="1" applyBorder="1" applyAlignment="1">
      <x:alignment horizontal="right" vertical="center" wrapText="1"/>
    </x:xf>
    <x:xf numFmtId="219" fontId="7" fillId="2" borderId="0" xfId="0" applyNumberFormat="1" applyFont="1" applyFill="1" applyBorder="1" applyAlignment="1">
      <x:alignment horizontal="right" vertical="center" wrapText="1"/>
    </x:xf>
    <x:xf numFmtId="211" fontId="7" fillId="2" borderId="0" xfId="0" applyNumberFormat="1" applyFont="1" applyFill="1" applyBorder="1" applyAlignment="1">
      <x:alignment horizontal="right" vertical="center"/>
    </x:xf>
    <x:xf numFmtId="220" fontId="0" fillId="0" borderId="0" xfId="0" applyNumberFormat="1" applyFont="1" applyFill="1" applyBorder="1"/>
    <x:xf numFmtId="207" fontId="11" fillId="2" borderId="0" xfId="0" applyNumberFormat="1" applyFont="1" applyFill="1" applyBorder="1" applyAlignment="1">
      <x:alignment horizontal="right" vertical="center"/>
    </x:xf>
    <x:xf numFmtId="201" fontId="11" fillId="2" borderId="0" xfId="0" applyNumberFormat="1" applyFont="1" applyFill="1" applyBorder="1" applyAlignment="1">
      <x:alignment horizontal="right" vertical="center"/>
    </x:xf>
    <x:xf numFmtId="221" fontId="11" fillId="2" borderId="0" xfId="0" applyNumberFormat="1" applyFont="1" applyFill="1" applyBorder="1" applyAlignment="1">
      <x:alignment horizontal="right" vertical="center"/>
    </x:xf>
    <x:xf numFmtId="221" fontId="1" fillId="2"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692ea841764e31" /><Relationship Type="http://schemas.openxmlformats.org/officeDocument/2006/relationships/theme" Target="/xl/theme/theme1.xml" Id="Rb949d09253c840a3" /><Relationship Type="http://schemas.openxmlformats.org/officeDocument/2006/relationships/sharedStrings" Target="/xl/sharedStrings.xml" Id="R3eb3585ea9cc4230" /><Relationship Type="http://schemas.openxmlformats.org/officeDocument/2006/relationships/worksheet" Target="/xl/worksheets/sheet1.xml" Id="Ra77db2183db74359" /><Relationship Type="http://schemas.openxmlformats.org/officeDocument/2006/relationships/worksheet" Target="/xl/worksheets/sheet2.xml" Id="R635a6c67a1bb4a4a" /><Relationship Type="http://schemas.openxmlformats.org/officeDocument/2006/relationships/worksheet" Target="/xl/worksheets/sheet3.xml" Id="Raea28eb79a1648c3" /><Relationship Type="http://schemas.openxmlformats.org/officeDocument/2006/relationships/worksheet" Target="/xl/worksheets/sheet4.xml" Id="Rbd40f225b3944308" /><Relationship Type="http://schemas.openxmlformats.org/officeDocument/2006/relationships/worksheet" Target="/xl/worksheets/sheet5.xml" Id="Rb853905cc7a34061" /><Relationship Type="http://schemas.openxmlformats.org/officeDocument/2006/relationships/worksheet" Target="/xl/worksheets/sheet6.xml" Id="R1f8b6d506dc14930" /><Relationship Type="http://schemas.openxmlformats.org/officeDocument/2006/relationships/worksheet" Target="/xl/worksheets/sheet7.xml" Id="Reb89457f952b4f52" /><Relationship Type="http://schemas.openxmlformats.org/officeDocument/2006/relationships/worksheet" Target="/xl/worksheets/sheet8.xml" Id="R9500677aae584eae" /><Relationship Type="http://schemas.openxmlformats.org/officeDocument/2006/relationships/worksheet" Target="/xl/worksheets/sheet9.xml" Id="Rec64355bd11e44aa" /><Relationship Type="http://schemas.openxmlformats.org/officeDocument/2006/relationships/worksheet" Target="/xl/worksheets/sheet10.xml" Id="R297e8859489a4662" /><Relationship Type="http://schemas.openxmlformats.org/officeDocument/2006/relationships/worksheet" Target="/xl/worksheets/sheet11.xml" Id="R544cb9401f074c0f" /><Relationship Type="http://schemas.openxmlformats.org/officeDocument/2006/relationships/worksheet" Target="/xl/worksheets/sheet12.xml" Id="Rf26d162a7b1b4d05" /><Relationship Type="http://schemas.openxmlformats.org/officeDocument/2006/relationships/worksheet" Target="/xl/worksheets/sheet13.xml" Id="Ra36b0c8783a343b8" /><Relationship Type="http://schemas.openxmlformats.org/officeDocument/2006/relationships/worksheet" Target="/xl/worksheets/sheet14.xml" Id="Rb46994c4f2b448c2"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194bcc9f2f44f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Revenue forecast</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Revenue</c:v>
          </c:tx>
          <c:marker>
            <c:symbol val="none"/>
          </c:marker>
          <c:cat>
            <c:strRef>
              <c:f>'Forecast'!$B$37:$B$41</c:f>
              <c:strCache>
                <c:ptCount val="0"/>
              </c:strCache>
            </c:strRef>
          </c:cat>
          <c:val>
            <c:numRef>
              <c:f>'Forecast'!$C$37:$C$41</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USD millions</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35</xdr:row>
      <xdr:rowOff>0</xdr:rowOff>
    </xdr:from>
    <xdr:to>
      <xdr:col>12</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194bcc9f2f44fa"/>
        </a:graphicData>
      </a:graphic>
    </xdr:graphicFrame>
    <xdr:clientData/>
  </xdr:twoCellAnchor>
</xdr:wsDr>
</file>

<file path=xl/theme/theme1.xml><?xml version="1.0" encoding="utf-8"?>
<a:theme xmlns:a="http://schemas.openxmlformats.org/drawingml/2006/main" name="Research">
  <a:themeElements>
    <a:clrScheme name="Research">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Research">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98c55fc5b15a4eb3" /></Relationships>
</file>

<file path=xl/worksheets/sheet1.xml><?xml version="1.0" encoding="utf-8"?>
<x:worksheet xmlns:x="http://schemas.openxmlformats.org/spreadsheetml/2006/main">
  <x:sheetPr>
    <x:tabColor rgb="FF19384D"/>
  </x:sheetPr>
  <x:sheetViews>
    <x:sheetView showGridLines="0" workbookViewId="0"/>
  </x:sheetViews>
  <x:sheetFormatPr defaultRowHeight="15"/>
  <x:cols>
    <x:col min="1" max="1" width="3" hidden="0" customWidth="1"/>
    <x:col min="2" max="2" width="43" hidden="0" customWidth="1"/>
    <x:col min="3" max="3" width="20" hidden="0" customWidth="1"/>
    <x:col min="4" max="4" width="4" hidden="0" customWidth="1"/>
    <x:col min="5" max="5" width="43" hidden="0" customWidth="1"/>
    <x:col min="6" max="6" width="20"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23" customHeight="1">
      <x:c r="A1" s="4"/>
      <x:c r="B1" s="4"/>
      <x:c r="C1" s="4"/>
      <x:c r="D1" s="4"/>
      <x:c r="E1" s="4"/>
      <x:c r="F1" s="4"/>
      <x:c r="G1" s="4"/>
      <x:c r="H1" s="4"/>
      <x:c r="I1" s="4"/>
      <x:c r="J1"/>
      <x:c r="K1"/>
      <x:c r="L1"/>
      <x:c r="M1"/>
    </x:row>
    <x:row r="2" ht="35" customHeight="1">
      <x:c r="A2" s="4"/>
      <x:c r="B2" s="178" t="str">
        <x:v>ADP: Discounted Cash Flow Valuation</x:v>
      </x:c>
      <x:c r="C2" s="178"/>
      <x:c r="D2" s="178"/>
      <x:c r="E2" s="178"/>
      <x:c r="F2" s="178"/>
      <x:c r="G2" s="4"/>
      <x:c r="H2" s="4"/>
      <x:c r="I2" s="4"/>
      <x:c r="J2"/>
      <x:c r="K2"/>
      <x:c r="L2"/>
      <x:c r="M2"/>
    </x:row>
    <x:row r="3" ht="28" customHeight="1">
      <x:c r="A3" s="4"/>
      <x:c r="B3" s="26" t="str">
        <x:v>Valuation at the 5 August 2026 close. USD millions except per-share data.</x:v>
      </x:c>
      <x:c r="C3" s="26"/>
      <x:c r="D3" s="26"/>
      <x:c r="E3" s="26"/>
      <x:c r="F3" s="26"/>
      <x:c r="G3" s="4"/>
      <x:c r="H3" s="4"/>
      <x:c r="I3" s="4"/>
      <x:c r="J3"/>
      <x:c r="K3"/>
      <x:c r="L3"/>
      <x:c r="M3"/>
    </x:row>
    <x:row r="4" ht="23" customHeight="1">
      <x:c r="A4" s="4"/>
      <x:c r="B4" s="4"/>
      <x:c r="C4" s="4"/>
      <x:c r="D4" s="4"/>
      <x:c r="E4" s="4"/>
      <x:c r="F4" s="4"/>
      <x:c r="G4" s="4"/>
      <x:c r="H4" s="4"/>
      <x:c r="I4" s="4"/>
      <x:c r="J4"/>
      <x:c r="K4"/>
      <x:c r="L4"/>
      <x:c r="M4"/>
    </x:row>
    <x:row r="5" ht="25" customHeight="1">
      <x:c r="A5" s="4"/>
      <x:c r="B5" s="58" t="str">
        <x:v>Valuation</x:v>
      </x:c>
      <x:c r="C5" s="58"/>
      <x:c r="D5" s="4"/>
      <x:c r="E5" s="58" t="str">
        <x:v>Forecast and assumptions</x:v>
      </x:c>
      <x:c r="F5" s="58"/>
      <x:c r="G5" s="4"/>
      <x:c r="H5" s="4"/>
      <x:c r="I5" s="4"/>
      <x:c r="J5"/>
      <x:c r="K5"/>
      <x:c r="L5"/>
      <x:c r="M5"/>
    </x:row>
    <x:row r="6" ht="23" customHeight="1">
      <x:c r="A6" s="4"/>
      <x:c r="B6" s="4" t="str">
        <x:v>Reference share price</x:v>
      </x:c>
      <x:c r="C6" s="179" t="n">
        <x:f>'Assumptions'!C6</x:f>
        <x:v>270.09</x:v>
      </x:c>
      <x:c r="D6" s="4"/>
      <x:c r="E6" s="4" t="str">
        <x:v>WACC</x:v>
      </x:c>
      <x:c r="F6" s="67" t="n">
        <x:f>'WACC'!C20</x:f>
        <x:v>0.0799555263113942</x:v>
      </x:c>
      <x:c r="G6" s="4"/>
      <x:c r="H6" s="4"/>
      <x:c r="I6" s="4"/>
      <x:c r="J6"/>
      <x:c r="K6"/>
      <x:c r="L6"/>
      <x:c r="M6"/>
    </x:row>
    <x:row r="7" ht="23" customHeight="1">
      <x:c r="A7" s="4"/>
      <x:c r="B7" s="183" t="str">
        <x:v>Base value / share</x:v>
      </x:c>
      <x:c r="C7" s="184" t="n">
        <x:f>'DCF'!C7</x:f>
        <x:v>236.0772354282076</x:v>
      </x:c>
      <x:c r="D7" s="4"/>
      <x:c r="E7" s="4" t="str">
        <x:v>Perpetual growth</x:v>
      </x:c>
      <x:c r="F7" s="67" t="n">
        <x:f>'Assumptions'!C21</x:f>
        <x:v>0.0275</x:v>
      </x:c>
      <x:c r="G7" s="4"/>
      <x:c r="H7" s="4"/>
      <x:c r="I7" s="4"/>
      <x:c r="J7"/>
      <x:c r="K7"/>
      <x:c r="L7"/>
      <x:c r="M7"/>
    </x:row>
    <x:row r="8" ht="23" customHeight="1">
      <x:c r="A8" s="4"/>
      <x:c r="B8" s="4" t="str">
        <x:v>Downside value / share</x:v>
      </x:c>
      <x:c r="C8" s="179" t="n">
        <x:f>'DCF'!C8</x:f>
        <x:v>173.25077483913776</x:v>
      </x:c>
      <x:c r="D8" s="4"/>
      <x:c r="E8" s="4" t="str">
        <x:v>Terminal value / enterprise value</x:v>
      </x:c>
      <x:c r="F8" s="180" t="n">
        <x:f>'DCF'!C17</x:f>
        <x:v>0.7809337182917258</x:v>
      </x:c>
      <x:c r="G8" s="4"/>
      <x:c r="H8" s="4"/>
      <x:c r="I8" s="4"/>
      <x:c r="J8"/>
      <x:c r="K8"/>
      <x:c r="L8"/>
      <x:c r="M8"/>
    </x:row>
    <x:row r="9" ht="23" customHeight="1">
      <x:c r="A9" s="4"/>
      <x:c r="B9" s="4" t="str">
        <x:v>Upside value / share</x:v>
      </x:c>
      <x:c r="C9" s="179" t="n">
        <x:f>'DCF'!C9</x:f>
        <x:v>292.7371993134117</x:v>
      </x:c>
      <x:c r="D9" s="4"/>
      <x:c r="E9" s="4" t="str">
        <x:v>Final-year revenue</x:v>
      </x:c>
      <x:c r="F9" s="4" t="n">
        <x:f>'Scenarios'!G12</x:f>
        <x:v>28187.84148001806</x:v>
      </x:c>
      <x:c r="G9" s="4"/>
      <x:c r="H9" s="4"/>
      <x:c r="I9" s="4"/>
      <x:c r="J9"/>
      <x:c r="K9"/>
      <x:c r="L9"/>
      <x:c r="M9"/>
    </x:row>
    <x:row r="10" ht="23" customHeight="1">
      <x:c r="A10" s="4"/>
      <x:c r="B10" s="4" t="str">
        <x:v>Base upside / (downside)</x:v>
      </x:c>
      <x:c r="C10" s="180" t="n">
        <x:f>'DCF'!C10</x:f>
        <x:v>-0.12593122504273535</x:v>
      </x:c>
      <x:c r="D10" s="4"/>
      <x:c r="E10" s="4" t="str">
        <x:v>Final-year EBIT margin</x:v>
      </x:c>
      <x:c r="F10" s="180" t="n">
        <x:f>'Scenarios'!G14</x:f>
        <x:v>0.29</x:v>
      </x:c>
      <x:c r="G10" s="4"/>
      <x:c r="H10" s="4"/>
      <x:c r="I10" s="4"/>
      <x:c r="J10"/>
      <x:c r="K10"/>
      <x:c r="L10"/>
      <x:c r="M10"/>
    </x:row>
    <x:row r="11" ht="23" customHeight="1">
      <x:c r="A11" s="4"/>
      <x:c r="B11" s="4" t="str">
        <x:v>Exit-multiple comparison</x:v>
      </x:c>
      <x:c r="C11" s="179" t="n">
        <x:f>'DCF'!C12</x:f>
        <x:v>236.0772354282076</x:v>
      </x:c>
      <x:c r="D11" s="4"/>
      <x:c r="E11" s="4" t="str">
        <x:v>Final-year FCFF</x:v>
      </x:c>
      <x:c r="F11" s="4" t="n">
        <x:f>'Scenarios'!G22</x:f>
        <x:v>6095.290323287545</x:v>
      </x:c>
      <x:c r="G11" s="4"/>
      <x:c r="H11" s="4"/>
      <x:c r="I11" s="4"/>
      <x:c r="J11"/>
      <x:c r="K11"/>
      <x:c r="L11"/>
      <x:c r="M11"/>
    </x:row>
    <x:row r="12" ht="23" customHeight="1">
      <x:c r="A12" s="4"/>
      <x:c r="B12" s="4"/>
      <x:c r="C12" s="4"/>
      <x:c r="D12" s="4"/>
      <x:c r="E12" s="4"/>
      <x:c r="F12" s="4"/>
      <x:c r="G12" s="4"/>
      <x:c r="H12" s="4"/>
      <x:c r="I12" s="4"/>
      <x:c r="J12"/>
      <x:c r="K12"/>
      <x:c r="L12"/>
      <x:c r="M12"/>
    </x:row>
    <x:row r="13" ht="23" customHeight="1">
      <x:c r="A13" s="4"/>
      <x:c r="B13" s="4"/>
      <x:c r="C13" s="4"/>
      <x:c r="D13" s="4"/>
      <x:c r="E13" s="4"/>
      <x:c r="F13" s="4"/>
      <x:c r="G13" s="4"/>
      <x:c r="H13" s="4"/>
      <x:c r="I13" s="4"/>
      <x:c r="J13"/>
      <x:c r="K13"/>
      <x:c r="L13"/>
      <x:c r="M13"/>
    </x:row>
    <x:row r="14" ht="25" customHeight="1">
      <x:c r="A14" s="4"/>
      <x:c r="B14" s="58" t="str">
        <x:v>Valuation conclusion</x:v>
      </x:c>
      <x:c r="C14" s="58"/>
      <x:c r="D14" s="58"/>
      <x:c r="E14" s="58"/>
      <x:c r="F14" s="58"/>
      <x:c r="G14" s="4"/>
      <x:c r="H14" s="4"/>
      <x:c r="I14" s="4"/>
      <x:c r="J14"/>
      <x:c r="K14"/>
      <x:c r="L14"/>
      <x:c r="M14"/>
    </x:row>
    <x:row r="15" ht="24" customHeight="1">
      <x:c r="A15" s="4"/>
      <x:c r="B15" s="188" t="str">
        <x:v>The base forecast supports a value below the reference price. Fee growth and margins remain strong; terminal investment and</x:v>
      </x:c>
      <x:c r="C15" s="188"/>
      <x:c r="D15" s="188"/>
      <x:c r="E15" s="188"/>
      <x:c r="F15" s="188"/>
      <x:c r="G15" s="4"/>
      <x:c r="H15" s="4"/>
      <x:c r="I15" s="4"/>
      <x:c r="J15"/>
      <x:c r="K15"/>
      <x:c r="L15"/>
      <x:c r="M15"/>
    </x:row>
    <x:row r="16" ht="24" customHeight="1">
      <x:c r="A16" s="4"/>
      <x:c r="B16" s="188" t="str">
        <x:v>the required return explain much of the valuation uncertainty.</x:v>
      </x:c>
      <x:c r="C16" s="188"/>
      <x:c r="D16" s="188"/>
      <x:c r="E16" s="188"/>
      <x:c r="F16" s="188"/>
      <x:c r="G16" s="4"/>
      <x:c r="H16" s="4"/>
      <x:c r="I16" s="4"/>
      <x:c r="J16"/>
      <x:c r="K16"/>
      <x:c r="L16"/>
      <x:c r="M16"/>
    </x:row>
    <x:row r="17" ht="26" customHeight="1">
      <x:c r="A17" s="4"/>
      <x:c r="B17" s="188"/>
      <x:c r="C17" s="188"/>
      <x:c r="D17" s="188"/>
      <x:c r="E17" s="188"/>
      <x:c r="F17" s="188"/>
      <x:c r="G17" s="4"/>
      <x:c r="H17" s="4"/>
      <x:c r="I17" s="4"/>
      <x:c r="J17"/>
      <x:c r="K17"/>
      <x:c r="L17"/>
      <x:c r="M17"/>
    </x:row>
    <x:row r="18" ht="23" customHeight="1">
      <x:c r="A18" s="4"/>
      <x:c r="B18" s="4"/>
      <x:c r="C18" s="4"/>
      <x:c r="D18" s="4"/>
      <x:c r="E18" s="4"/>
      <x:c r="F18" s="4"/>
      <x:c r="G18" s="4"/>
      <x:c r="H18" s="4"/>
      <x:c r="I18" s="4"/>
      <x:c r="J18"/>
      <x:c r="K18"/>
      <x:c r="L18"/>
      <x:c r="M18"/>
    </x:row>
    <x:row r="19" ht="23" customHeight="1">
      <x:c r="A19" s="4"/>
      <x:c r="B19" s="4"/>
      <x:c r="C19" s="4"/>
      <x:c r="D19" s="4"/>
      <x:c r="E19" s="4"/>
      <x:c r="F19" s="4"/>
      <x:c r="G19" s="4"/>
      <x:c r="H19" s="4"/>
      <x:c r="I19" s="4"/>
      <x:c r="J19"/>
      <x:c r="K19"/>
      <x:c r="L19"/>
      <x:c r="M19"/>
    </x:row>
    <x:row r="20" ht="25" customHeight="1">
      <x:c r="A20" s="4"/>
      <x:c r="B20" s="58" t="str">
        <x:v>Material assumptions</x:v>
      </x:c>
      <x:c r="C20" s="58"/>
      <x:c r="D20" s="58"/>
      <x:c r="E20" s="58"/>
      <x:c r="F20" s="58"/>
      <x:c r="G20" s="4"/>
      <x:c r="H20" s="4"/>
      <x:c r="I20" s="4"/>
      <x:c r="J20"/>
      <x:c r="K20"/>
      <x:c r="L20"/>
      <x:c r="M20"/>
    </x:row>
    <x:row r="21" ht="24" customHeight="1">
      <x:c r="A21" s="4"/>
      <x:c r="B21" s="26" t="str">
        <x:v>Client balances remain separate from corporate cash and debt. Terminal reinvestment assumes 25% incremental ROIC. The</x:v>
      </x:c>
      <x:c r="C21" s="26"/>
      <x:c r="D21" s="26"/>
      <x:c r="E21" s="26"/>
      <x:c r="F21" s="26"/>
      <x:c r="G21" s="4"/>
      <x:c r="H21" s="4"/>
      <x:c r="I21" s="4"/>
      <x:c r="J21"/>
      <x:c r="K21"/>
      <x:c r="L21"/>
      <x:c r="M21"/>
    </x:row>
    <x:row r="22" ht="24" customHeight="1">
      <x:c r="A22" s="4"/>
      <x:c r="B22" s="26" t="str">
        <x:v>industry operating beta is relevered to ADP corporate debt. Five future fiscal cash-flow periods are modeled.</x:v>
      </x:c>
      <x:c r="C22" s="26"/>
      <x:c r="D22" s="26"/>
      <x:c r="E22" s="26"/>
      <x:c r="F22" s="26"/>
      <x:c r="G22" s="4"/>
      <x:c r="H22" s="4"/>
      <x:c r="I22" s="4"/>
      <x:c r="J22"/>
      <x:c r="K22"/>
      <x:c r="L22"/>
      <x:c r="M22"/>
    </x:row>
    <x:row r="23" ht="25" customHeight="1">
      <x:c r="A23" s="4"/>
      <x:c r="B23" s="26"/>
      <x:c r="C23" s="26"/>
      <x:c r="D23" s="26"/>
      <x:c r="E23" s="26"/>
      <x:c r="F23" s="26"/>
      <x:c r="G23" s="4"/>
      <x:c r="H23" s="4"/>
      <x:c r="I23" s="4"/>
      <x:c r="J23"/>
      <x:c r="K23"/>
      <x:c r="L23"/>
      <x:c r="M23"/>
    </x:row>
    <x:row r="24" ht="25" customHeight="1">
      <x:c r="A24" s="4"/>
      <x:c r="B24" s="26"/>
      <x:c r="C24" s="26"/>
      <x:c r="D24" s="26"/>
      <x:c r="E24" s="26"/>
      <x:c r="F24" s="26"/>
      <x:c r="G24" s="4"/>
      <x:c r="H24" s="4"/>
      <x:c r="I24" s="4"/>
      <x:c r="J24"/>
      <x:c r="K24"/>
      <x:c r="L24"/>
      <x:c r="M24"/>
    </x:row>
    <x:row r="25" ht="23" customHeight="1">
      <x:c r="A25" s="4"/>
      <x:c r="B25" s="4"/>
      <x:c r="C25" s="4"/>
      <x:c r="D25" s="4"/>
      <x:c r="E25" s="4"/>
      <x:c r="F25" s="4"/>
      <x:c r="G25" s="4"/>
      <x:c r="H25" s="4"/>
      <x:c r="I25" s="4"/>
      <x:c r="J25"/>
      <x:c r="K25"/>
      <x:c r="L25"/>
      <x:c r="M25"/>
    </x:row>
    <x:row r="26" ht="23" customHeight="1">
      <x:c r="A26" s="4"/>
      <x:c r="B26" s="4"/>
      <x:c r="C26" s="4"/>
      <x:c r="D26" s="4"/>
      <x:c r="E26" s="4"/>
      <x:c r="F26" s="4"/>
      <x:c r="G26" s="4"/>
      <x:c r="H26" s="4"/>
      <x:c r="I26" s="4"/>
      <x:c r="J26"/>
      <x:c r="K26"/>
      <x:c r="L26"/>
      <x:c r="M26"/>
    </x:row>
    <x:row r="27" ht="23" customHeight="1">
      <x:c r="A27" s="4"/>
      <x:c r="B27" s="4"/>
      <x:c r="C27" s="4"/>
      <x:c r="D27" s="4"/>
      <x:c r="E27" s="4"/>
      <x:c r="F27" s="4"/>
      <x:c r="G27" s="4"/>
      <x:c r="H27" s="4"/>
      <x:c r="I27" s="4"/>
      <x:c r="J27"/>
      <x:c r="K27"/>
      <x:c r="L27"/>
      <x:c r="M27"/>
    </x:row>
    <x:row r="28" ht="23" customHeight="1">
      <x:c r="A28" s="4"/>
      <x:c r="B28" s="4"/>
      <x:c r="C28" s="4"/>
      <x:c r="D28" s="4"/>
      <x:c r="E28" s="4"/>
      <x:c r="F28" s="4"/>
      <x:c r="G28" s="4"/>
      <x:c r="H28" s="4"/>
      <x:c r="I28" s="4"/>
      <x:c r="J28"/>
      <x:c r="K28"/>
      <x:c r="L28"/>
      <x:c r="M28"/>
    </x:row>
    <x:row r="29" ht="23" customHeight="1">
      <x:c r="A29"/>
      <x:c r="B29"/>
      <x:c r="C29"/>
      <x:c r="D29"/>
      <x:c r="E29"/>
      <x:c r="F29"/>
      <x:c r="G29"/>
      <x:c r="H29"/>
      <x:c r="I29"/>
      <x:c r="J29"/>
      <x:c r="K29"/>
      <x:c r="L29"/>
      <x:c r="M29"/>
    </x:row>
    <x:row r="30" ht="23" customHeight="1">
      <x:c r="A30"/>
      <x:c r="B30"/>
      <x:c r="C30"/>
      <x:c r="D30"/>
      <x:c r="E30"/>
      <x:c r="F30"/>
      <x:c r="G30"/>
      <x:c r="H30"/>
      <x:c r="I30"/>
      <x:c r="J30"/>
      <x:c r="K30"/>
      <x:c r="L30"/>
      <x:c r="M30"/>
    </x:row>
  </x:sheetData>
  <x:pageMargins left="0.7" right="0.7" top="0.75" bottom="0.75" header="0.3" footer="0.3"/>
</x:worksheet>
</file>

<file path=xl/worksheets/sheet2.xml><?xml version="1.0" encoding="utf-8"?>
<x:worksheet xmlns:x="http://schemas.openxmlformats.org/spreadsheetml/2006/main">
  <x:sheetPr>
    <x:tabColor rgb="FF19384D"/>
  </x:sheetPr>
  <x:sheetViews>
    <x:sheetView showGridLines="0" workbookViewId="0"/>
  </x:sheetViews>
  <x:sheetFormatPr defaultRowHeight="15"/>
  <x:cols>
    <x:col min="1" max="1" width="3" hidden="0" customWidth="1"/>
    <x:col min="2" max="2" width="43" hidden="0" customWidth="1"/>
    <x:col min="3" max="3" width="18" hidden="0" customWidth="1"/>
    <x:col min="4" max="4" width="4" hidden="0" customWidth="1"/>
    <x:col min="5" max="5" width="32" hidden="0" customWidth="1"/>
    <x:col min="6" max="6" width="40" hidden="0" customWidth="1"/>
    <x:col min="7" max="7" width="18" hidden="0" customWidth="1"/>
  </x:cols>
  <x:sheetData>
    <x:row r="1" ht="31" customHeight="1">
      <x:c r="A1" s="6"/>
      <x:c r="B1" s="22" t="str">
        <x:v>ADP, DCF Valuation</x:v>
      </x:c>
      <x:c r="C1" s="22"/>
      <x:c r="D1" s="22"/>
      <x:c r="E1" s="22"/>
      <x:c r="F1" s="22"/>
      <x:c r="G1" s="22"/>
    </x:row>
    <x:row r="2" ht="34" customHeight="1">
      <x:c r="A2" s="7"/>
      <x:c r="B2" s="26" t="str">
        <x:v>Cash-flow valuation and its equivalent terminal EV/EBITDA.</x:v>
      </x:c>
      <x:c r="C2" s="26"/>
      <x:c r="D2" s="26"/>
      <x:c r="E2" s="26"/>
      <x:c r="F2" s="26"/>
      <x:c r="G2" s="26"/>
    </x:row>
    <x:row r="3" ht="23" customHeight="1">
      <x:c r="A3" s="4"/>
      <x:c r="B3" s="4"/>
      <x:c r="C3" s="4"/>
      <x:c r="D3" s="4"/>
      <x:c r="E3" s="4"/>
      <x:c r="F3" s="4"/>
      <x:c r="G3" s="4"/>
    </x:row>
    <x:row r="4" ht="25" customHeight="1">
      <x:c r="A4" s="4"/>
      <x:c r="B4" s="57" t="str">
        <x:v>Valuation Results</x:v>
      </x:c>
      <x:c r="C4" s="58"/>
      <x:c r="D4" s="4"/>
      <x:c r="E4" s="4"/>
      <x:c r="F4" s="6" t="str">
        <x:v>What the Market Price Implies</x:v>
      </x:c>
      <x:c r="G4" s="4"/>
    </x:row>
    <x:row r="5" ht="34" customHeight="1">
      <x:c r="A5" s="4"/>
      <x:c r="B5" s="40" t="str">
        <x:v>Valuation date</x:v>
      </x:c>
      <x:c r="C5" s="65" t="n">
        <x:f>'Assumptions'!C5</x:f>
        <x:v>46239</x:v>
      </x:c>
      <x:c r="D5" s="42"/>
      <x:c r="E5" s="42"/>
      <x:c r="F5" s="40" t="str">
        <x:v>Equity value needed at price (diluted)</x:v>
      </x:c>
      <x:c r="G5" s="66" t="n">
        <x:f>'Assumptions'!$C$6*'Assumptions'!$C$7</x:f>
        <x:v>107684.88299999999</x:v>
      </x:c>
    </x:row>
    <x:row r="6" ht="23" customHeight="1">
      <x:c r="A6" s="4"/>
      <x:c r="B6" s="6" t="str">
        <x:v>Current price</x:v>
      </x:c>
      <x:c r="C6" s="9" t="n">
        <x:f>'Assumptions'!$C$6</x:f>
        <x:v>270.09</x:v>
      </x:c>
      <x:c r="D6" s="4"/>
      <x:c r="E6" s="4"/>
      <x:c r="F6" s="6" t="str">
        <x:v>Enterprise value needed at price</x:v>
      </x:c>
      <x:c r="G6" s="47" t="n">
        <x:f>G5-'Assumptions'!$C$10+'Assumptions'!$C$11</x:f>
        <x:v>109919.583</x:v>
      </x:c>
    </x:row>
    <x:row r="7" ht="23" customHeight="1">
      <x:c r="A7" s="4"/>
      <x:c r="B7" s="6" t="str">
        <x:v>Base PGR value / share</x:v>
      </x:c>
      <x:c r="C7" s="9" t="n">
        <x:f>'Scenarios'!$O$17</x:f>
        <x:v>236.0772354282076</x:v>
      </x:c>
      <x:c r="D7" s="4"/>
      <x:c r="E7" s="4"/>
      <x:c r="F7" s="6" t="str">
        <x:v>PV explicit FCFF</x:v>
      </x:c>
      <x:c r="G7" s="47" t="n">
        <x:f>'Scenarios'!$O$6</x:f>
        <x:v>21108.940753414405</x:v>
      </x:c>
    </x:row>
    <x:row r="8" ht="23" customHeight="1">
      <x:c r="A8" s="4"/>
      <x:c r="B8" s="6" t="str">
        <x:v>Downside PGR value / share</x:v>
      </x:c>
      <x:c r="C8" s="9" t="n">
        <x:f>'Scenarios'!$O$45</x:f>
        <x:v>173.25077483913776</x:v>
      </x:c>
      <x:c r="D8" s="4"/>
      <x:c r="E8" s="4"/>
      <x:c r="F8" s="6" t="str">
        <x:v>Required PV terminal value</x:v>
      </x:c>
      <x:c r="G8" s="47" t="n">
        <x:f>G6-G7</x:f>
        <x:v>88810.6422465856</x:v>
      </x:c>
    </x:row>
    <x:row r="9" ht="28" customHeight="1">
      <x:c r="A9" s="4"/>
      <x:c r="B9" s="6" t="str">
        <x:v>Upside PGR value / share</x:v>
      </x:c>
      <x:c r="C9" s="9" t="n">
        <x:f>'Scenarios'!$O$73</x:f>
        <x:v>292.7371993134117</x:v>
      </x:c>
      <x:c r="D9" s="4"/>
      <x:c r="E9" s="4"/>
      <x:c r="F9" s="7" t="str">
        <x:v>Required terminal value at FY2031</x:v>
      </x:c>
      <x:c r="G9" s="47" t="n">
        <x:f>G8/'Scenarios'!G23</x:f>
        <x:v>129506.35011753794</x:v>
      </x:c>
    </x:row>
    <x:row r="10" ht="23" customHeight="1">
      <x:c r="A10" s="4"/>
      <x:c r="B10" s="6" t="str">
        <x:v>Base upside / (downside)</x:v>
      </x:c>
      <x:c r="C10" s="12" t="n">
        <x:f>C7/C6-1</x:f>
        <x:v>-0.12593122504273535</x:v>
      </x:c>
      <x:c r="D10" s="4"/>
      <x:c r="E10" s="4"/>
      <x:c r="F10" s="6" t="str">
        <x:v>Required FY2032 terminal FCFF</x:v>
      </x:c>
      <x:c r="G10" s="47" t="n">
        <x:f>G9*('Assumptions'!C20-'Assumptions'!C21)</x:f>
        <x:v>6793.323756083141</x:v>
      </x:c>
    </x:row>
    <x:row r="11" ht="23" customHeight="1">
      <x:c r="A11" s="4"/>
      <x:c r="B11" s="6" t="str">
        <x:v>Base implied EV / EBITDA</x:v>
      </x:c>
      <x:c r="C11" s="204" t="n">
        <x:f>'Assumptions'!$C$22</x:f>
        <x:v>12.397658328973776</x:v>
      </x:c>
      <x:c r="D11" s="4"/>
      <x:c r="E11" s="4"/>
      <x:c r="F11" s="6" t="str">
        <x:v>Base FY2031 revenue</x:v>
      </x:c>
      <x:c r="G11" s="47" t="n">
        <x:f>'Scenarios'!$G$12</x:f>
        <x:v>28187.84148001806</x:v>
      </x:c>
    </x:row>
    <x:row r="12" ht="23" customHeight="1">
      <x:c r="A12" s="4"/>
      <x:c r="B12" s="6" t="str">
        <x:v>Equivalent value / share</x:v>
      </x:c>
      <x:c r="C12" s="9" t="n">
        <x:f>'Scenarios'!$O$23</x:f>
        <x:v>236.0772354282076</x:v>
      </x:c>
      <x:c r="D12" s="4"/>
      <x:c r="E12" s="4"/>
      <x:c r="F12" s="6" t="str">
        <x:v>Implied FY2031 EBIT margin</x:v>
      </x:c>
      <x:c r="G12" s="12" t="n">
        <x:f>G10/(G11*(1-'Assumptions'!C12)*(1+'Assumptions'!C21)*(1-'Assumptions'!C21/'Assumptions'!C74))</x:f>
        <x:v>0.34226140579447545</x:v>
      </x:c>
    </x:row>
    <x:row r="13" ht="23" customHeight="1">
      <x:c r="A13" s="4"/>
      <x:c r="B13" s="6" t="str">
        <x:v>PV explicit FCFF</x:v>
      </x:c>
      <x:c r="C13" s="47" t="n">
        <x:f>'Scenarios'!$O$6</x:f>
        <x:v>21108.940753414405</x:v>
      </x:c>
      <x:c r="D13" s="4"/>
      <x:c r="E13" s="4"/>
      <x:c r="F13" s="6" t="str">
        <x:v>Base FY2031 EBIT margin</x:v>
      </x:c>
      <x:c r="G13" s="12" t="n">
        <x:f>'Scenarios'!$G$14</x:f>
        <x:v>0.29</x:v>
      </x:c>
    </x:row>
    <x:row r="14" ht="23" customHeight="1">
      <x:c r="A14" s="4"/>
      <x:c r="B14" s="6" t="str">
        <x:v>PV terminal value</x:v>
      </x:c>
      <x:c r="C14" s="47" t="n">
        <x:f>'Scenarios'!$O$11</x:f>
        <x:v>75249.75301181196</x:v>
      </x:c>
      <x:c r="D14" s="4"/>
      <x:c r="E14" s="4"/>
      <x:c r="F14" s="4"/>
      <x:c r="G14" s="4"/>
    </x:row>
    <x:row r="15" ht="23" customHeight="1">
      <x:c r="A15" s="4"/>
      <x:c r="B15" s="6" t="str">
        <x:v>Enterprise value</x:v>
      </x:c>
      <x:c r="C15" s="47" t="n">
        <x:f>'Scenarios'!$O$12</x:f>
        <x:v>96358.69376522637</x:v>
      </x:c>
      <x:c r="D15" s="4"/>
      <x:c r="E15" s="4"/>
      <x:c r="F15" s="4"/>
      <x:c r="G15" s="4"/>
    </x:row>
    <x:row r="16" ht="23" customHeight="1">
      <x:c r="A16" s="4"/>
      <x:c r="B16" s="6" t="str">
        <x:v>Equity value</x:v>
      </x:c>
      <x:c r="C16" s="47" t="n">
        <x:f>'Scenarios'!$O$15</x:f>
        <x:v>94123.99376522636</x:v>
      </x:c>
      <x:c r="D16" s="4"/>
      <x:c r="E16" s="4"/>
      <x:c r="F16" s="4"/>
      <x:c r="G16" s="4"/>
    </x:row>
    <x:row r="17" ht="23" customHeight="1">
      <x:c r="A17" s="4"/>
      <x:c r="B17" s="6" t="str">
        <x:v>Terminal value / EV</x:v>
      </x:c>
      <x:c r="C17" s="12" t="n">
        <x:f>'Scenarios'!$O$20</x:f>
        <x:v>0.7809337182917258</x:v>
      </x:c>
      <x:c r="D17" s="4"/>
      <x:c r="E17" s="4"/>
      <x:c r="F17" s="4"/>
      <x:c r="G17" s="4"/>
    </x:row>
    <x:row r="18" ht="23" customHeight="1">
      <x:c r="A18" s="4"/>
      <x:c r="B18" s="6" t="str">
        <x:v>Terminal ROIC</x:v>
      </x:c>
      <x:c r="C18" s="86" t="n">
        <x:f>'Assumptions'!C74</x:f>
        <x:v>0.25</x:v>
      </x:c>
      <x:c r="D18" s="4"/>
      <x:c r="E18" s="4"/>
      <x:c r="F18" s="4"/>
      <x:c r="G18" s="4"/>
    </x:row>
    <x:row r="19" ht="23" customHeight="1">
      <x:c r="A19" s="4"/>
      <x:c r="B19" s="4"/>
      <x:c r="C19" s="4"/>
      <x:c r="D19" s="4"/>
      <x:c r="E19" s="4"/>
      <x:c r="F19" s="4"/>
      <x:c r="G19" s="4"/>
    </x:row>
    <x:row r="20" ht="23" customHeight="1">
      <x:c r="A20" s="4"/>
      <x:c r="B20" s="4"/>
      <x:c r="C20" s="4"/>
      <x:c r="D20" s="4"/>
      <x:c r="E20" s="4"/>
      <x:c r="F20" s="4"/>
      <x:c r="G20" s="4"/>
    </x:row>
    <x:row r="21" ht="23" customHeight="1">
      <x:c r="A21" s="4"/>
      <x:c r="B21" s="4"/>
      <x:c r="C21" s="4"/>
      <x:c r="D21" s="4"/>
      <x:c r="E21" s="4"/>
      <x:c r="F21" s="4"/>
      <x:c r="G21" s="4"/>
    </x:row>
    <x:row r="22" ht="24" customHeight="1">
      <x:c r="A22" s="4"/>
      <x:c r="B22" s="44" t="str">
        <x:v>The perpetual-growth valuation deducts reinvestment at 25% incremental ROIC in the base case, 20% downside and 30% upside.</x:v>
      </x:c>
      <x:c r="C22" s="26"/>
      <x:c r="D22" s="26"/>
      <x:c r="E22" s="26"/>
      <x:c r="F22" s="26"/>
      <x:c r="G22" s="26"/>
    </x:row>
    <x:row r="23" ht="24" customHeight="1">
      <x:c r="A23" s="4"/>
      <x:c r="B23" s="45" t="str">
        <x:v>Those returns are estimates. The reverse DCF holds growth, required return, reinvestment efficiency and the explicit forecast</x:v>
      </x:c>
      <x:c r="C23" s="4"/>
      <x:c r="D23" s="4"/>
      <x:c r="E23" s="4"/>
      <x:c r="F23" s="4"/>
      <x:c r="G23" s="4"/>
    </x:row>
    <x:row r="24" ht="24" customHeight="1">
      <x:c r="A24" s="4"/>
      <x:c r="B24" s="45" t="str">
        <x:v>fixed.</x:v>
      </x:c>
      <x:c r="C24" s="4"/>
      <x:c r="D24" s="4"/>
      <x:c r="E24" s="4"/>
      <x:c r="F24" s="4"/>
      <x:c r="G24" s="4"/>
    </x:row>
    <x:row r="25" ht="23" customHeight="1">
      <x:c r="A25" s="4"/>
      <x:c r="B25" s="4"/>
      <x:c r="C25" s="4"/>
      <x:c r="D25" s="4"/>
      <x:c r="E25" s="4"/>
      <x:c r="F25" s="4"/>
      <x:c r="G25" s="4"/>
    </x:row>
    <x:row r="26" ht="23" customHeight="1">
      <x:c r="A26" s="4"/>
      <x:c r="B26" s="4"/>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

<file path=xl/worksheets/sheet3.xml><?xml version="1.0" encoding="utf-8"?>
<x:worksheet xmlns:x="http://schemas.openxmlformats.org/spreadsheetml/2006/main">
  <x:sheetPr>
    <x:tabColor rgb="FF19384D"/>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1" customHeight="1">
      <x:c r="A1" s="6"/>
      <x:c r="B1" s="22" t="str">
        <x:v>ADP, Sensitivity Analysis</x:v>
      </x:c>
      <x:c r="C1" s="22"/>
      <x:c r="D1" s="22"/>
      <x:c r="E1" s="22"/>
      <x:c r="F1" s="22"/>
      <x:c r="G1" s="22"/>
      <x:c r="H1" s="22"/>
      <x:c r="I1" s="22"/>
      <x:c r="J1" s="22"/>
      <x:c r="K1" s="22"/>
      <x:c r="L1" s="22"/>
      <x:c r="M1" s="22"/>
      <x:c r="N1" s="22"/>
    </x:row>
    <x:row r="2" ht="24" customHeight="1">
      <x:c r="A2" s="7"/>
      <x:c r="B2" s="26" t="str">
        <x:v>Per-share values. The first grid changes WACC and growth throughout the valuation. Other grids hold the explicit forecast</x:v>
      </x:c>
      <x:c r="C2" s="26"/>
      <x:c r="D2" s="26"/>
      <x:c r="E2" s="26"/>
      <x:c r="F2" s="26"/>
      <x:c r="G2" s="26"/>
      <x:c r="H2" s="26"/>
      <x:c r="I2" s="26"/>
      <x:c r="J2" s="26"/>
      <x:c r="K2" s="26"/>
      <x:c r="L2" s="26"/>
      <x:c r="M2" s="26"/>
      <x:c r="N2" s="26"/>
    </x:row>
    <x:row r="3" ht="24" customHeight="1">
      <x:c r="A3" s="4"/>
      <x:c r="B3" s="45" t="str">
        <x:v>fixed.</x:v>
      </x:c>
      <x:c r="C3" s="4"/>
      <x:c r="D3" s="4"/>
      <x:c r="E3" s="4"/>
      <x:c r="F3" s="4"/>
      <x:c r="G3" s="4"/>
      <x:c r="H3" s="4"/>
      <x:c r="I3" s="4"/>
      <x:c r="J3" s="4"/>
      <x:c r="K3" s="4"/>
      <x:c r="L3" s="4"/>
      <x:c r="M3" s="4"/>
      <x:c r="N3" s="4"/>
    </x:row>
    <x:row r="4" ht="25" customHeight="1">
      <x:c r="A4" s="4"/>
      <x:c r="B4" s="57" t="str">
        <x:v>WACC vs. Terminal Growth - Full DCF, explicit FCFF re-discounted</x:v>
      </x:c>
      <x:c r="C4" s="58"/>
      <x:c r="D4" s="58"/>
      <x:c r="E4" s="58"/>
      <x:c r="F4" s="58"/>
      <x:c r="G4" s="58"/>
      <x:c r="H4" s="4"/>
      <x:c r="I4" s="7" t="str">
        <x:v>Terminal revenue x EBIT margin (explicit forecast held fixed)</x:v>
      </x:c>
      <x:c r="J4" s="4"/>
      <x:c r="K4" s="4"/>
      <x:c r="L4" s="4"/>
      <x:c r="M4" s="4"/>
      <x:c r="N4" s="4"/>
    </x:row>
    <x:row r="5" ht="34" customHeight="1">
      <x:c r="A5" s="4"/>
      <x:c r="B5" s="40" t="str">
        <x:v>Terminal growth / WACC</x:v>
      </x:c>
      <x:c r="C5" s="82" t="n">
        <x:f>'Assumptions'!C20-0.01</x:f>
        <x:v>0.0699555263113942</x:v>
      </x:c>
      <x:c r="D5" s="82" t="n">
        <x:f>'Assumptions'!C20-0.005</x:f>
        <x:v>0.0749555263113942</x:v>
      </x:c>
      <x:c r="E5" s="82" t="n">
        <x:f>'Assumptions'!C20+0</x:f>
        <x:v>0.0799555263113942</x:v>
      </x:c>
      <x:c r="F5" s="82" t="n">
        <x:f>'Assumptions'!C20+0.005</x:f>
        <x:v>0.0849555263113942</x:v>
      </x:c>
      <x:c r="G5" s="82" t="n">
        <x:f>'Assumptions'!C20+0.01</x:f>
        <x:v>0.0899555263113942</x:v>
      </x:c>
      <x:c r="H5" s="42"/>
      <x:c r="I5" s="85" t="str">
        <x:v>Revenue multiplier / EBIT margin</x:v>
      </x:c>
      <x:c r="J5" s="85" t="n">
        <x:v>0.25</x:v>
      </x:c>
      <x:c r="K5" s="85" t="n">
        <x:v>0.27</x:v>
      </x:c>
      <x:c r="L5" s="85" t="n">
        <x:v>0.29</x:v>
      </x:c>
      <x:c r="M5" s="85" t="n">
        <x:v>0.31</x:v>
      </x:c>
      <x:c r="N5" s="85" t="n">
        <x:v>0.33</x:v>
      </x:c>
    </x:row>
    <x:row r="6" ht="23" customHeight="1">
      <x:c r="A6" s="4"/>
      <x:c r="B6" s="68" t="n">
        <x:f>'Assumptions'!C21-0.01</x:f>
        <x:v>0.0175</x:v>
      </x:c>
      <x:c r="C6" s="191" t="n">
        <x:f>IF(C$5&gt;$B6,('Scenarios'!$C$22*'Scenarios'!$C$29/(1+C$5)^'Scenarios'!$C$28+'Scenarios'!$D$22/(1+C$5)^'Scenarios'!$D$28+'Scenarios'!$E$22/(1+C$5)^'Scenarios'!$E$28+'Scenarios'!$F$22/(1+C$5)^'Scenarios'!$F$28+'Scenarios'!$G$22/(1+C$5)^'Scenarios'!$G$28+('Scenarios'!$G$17*(1+$B6)*(1-$B6/'Assumptions'!$C$74))/(C$5-$B6)/(1+C$5)^'Scenarios'!$G$28+'Assumptions'!$C$10-'Assumptions'!$C$11)/'Assumptions'!$C$7,"n.a.")</x:f>
        <x:v>253.2201526492591</x:v>
      </x:c>
      <x:c r="D6" s="191" t="n">
        <x:f>IF(D$5&gt;$B6,('Scenarios'!$C$22*'Scenarios'!$C$29/(1+D$5)^'Scenarios'!$C$28+'Scenarios'!$D$22/(1+D$5)^'Scenarios'!$D$28+'Scenarios'!$E$22/(1+D$5)^'Scenarios'!$E$28+'Scenarios'!$F$22/(1+D$5)^'Scenarios'!$F$28+'Scenarios'!$G$22/(1+D$5)^'Scenarios'!$G$28+('Scenarios'!$G$17*(1+$B6)*(1-$B6/'Assumptions'!$C$74))/(D$5-$B6)/(1+D$5)^'Scenarios'!$G$28+'Assumptions'!$C$10-'Assumptions'!$C$11)/'Assumptions'!$C$7,"n.a.")</x:f>
        <x:v>230.47281582839767</x:v>
      </x:c>
      <x:c r="E6" s="191" t="n">
        <x:f>IF(E$5&gt;$B6,('Scenarios'!$C$22*'Scenarios'!$C$29/(1+E$5)^'Scenarios'!$C$28+'Scenarios'!$D$22/(1+E$5)^'Scenarios'!$D$28+'Scenarios'!$E$22/(1+E$5)^'Scenarios'!$E$28+'Scenarios'!$F$22/(1+E$5)^'Scenarios'!$F$28+'Scenarios'!$G$22/(1+E$5)^'Scenarios'!$G$28+('Scenarios'!$G$17*(1+$B6)*(1-$B6/'Assumptions'!$C$74))/(E$5-$B6)/(1+E$5)^'Scenarios'!$G$28+'Assumptions'!$C$10-'Assumptions'!$C$11)/'Assumptions'!$C$7,"n.a.")</x:f>
        <x:v>211.37000801058156</x:v>
      </x:c>
      <x:c r="F6" s="191" t="n">
        <x:f>IF(F$5&gt;$B6,('Scenarios'!$C$22*'Scenarios'!$C$29/(1+F$5)^'Scenarios'!$C$28+'Scenarios'!$D$22/(1+F$5)^'Scenarios'!$D$28+'Scenarios'!$E$22/(1+F$5)^'Scenarios'!$E$28+'Scenarios'!$F$22/(1+F$5)^'Scenarios'!$F$28+'Scenarios'!$G$22/(1+F$5)^'Scenarios'!$G$28+('Scenarios'!$G$17*(1+$B6)*(1-$B6/'Assumptions'!$C$74))/(F$5-$B6)/(1+F$5)^'Scenarios'!$G$28+'Assumptions'!$C$10-'Assumptions'!$C$11)/'Assumptions'!$C$7,"n.a.")</x:f>
        <x:v>195.10128479607027</x:v>
      </x:c>
      <x:c r="G6" s="191" t="n">
        <x:f>IF(G$5&gt;$B6,('Scenarios'!$C$22*'Scenarios'!$C$29/(1+G$5)^'Scenarios'!$C$28+'Scenarios'!$D$22/(1+G$5)^'Scenarios'!$D$28+'Scenarios'!$E$22/(1+G$5)^'Scenarios'!$E$28+'Scenarios'!$F$22/(1+G$5)^'Scenarios'!$F$28+'Scenarios'!$G$22/(1+G$5)^'Scenarios'!$G$28+('Scenarios'!$G$17*(1+$B6)*(1-$B6/'Assumptions'!$C$74))/(G$5-$B6)/(1+G$5)^'Scenarios'!$G$28+'Assumptions'!$C$10-'Assumptions'!$C$11)/'Assumptions'!$C$7,"n.a.")</x:f>
        <x:v>181.07990934759428</x:v>
      </x:c>
      <x:c r="H6" s="4"/>
      <x:c r="I6" s="72" t="n">
        <x:v>0.9</x:v>
      </x:c>
      <x:c r="J6" s="9" t="n">
        <x:f>('Scenarios'!$O$6+(('Scenarios'!$G$12*$I6*J$5*(1-'Assumptions'!$C$12)+'Scenarios'!$G$18-'Scenarios'!$G$19)*(1+'Assumptions'!$C$21)-'Scenarios'!$G$20*$I6*'Assumptions'!$C$21)/('Assumptions'!$C$20-'Assumptions'!$C$21)/(1+'Assumptions'!$C$20)^'Scenarios'!$G$28+'Assumptions'!$C$10-'Assumptions'!$C$11)/'Assumptions'!$C$7</x:f>
        <x:v>206.29791910544827</x:v>
      </x:c>
      <x:c r="K6" s="9" t="n">
        <x:f>('Scenarios'!$O$6+(('Scenarios'!$G$12*$I6*K$5*(1-'Assumptions'!$C$12)+'Scenarios'!$G$18-'Scenarios'!$G$19)*(1+'Assumptions'!$C$21)-'Scenarios'!$G$20*$I6*'Assumptions'!$C$21)/('Assumptions'!$C$20-'Assumptions'!$C$21)/(1+'Assumptions'!$C$20)^'Scenarios'!$G$28+'Assumptions'!$C$10-'Assumptions'!$C$11)/'Assumptions'!$C$7</x:f>
        <x:v>219.46056941804034</x:v>
      </x:c>
      <x:c r="L6" s="9" t="n">
        <x:f>('Scenarios'!$O$6+(('Scenarios'!$G$12*$I6*L$5*(1-'Assumptions'!$C$12)+'Scenarios'!$G$18-'Scenarios'!$G$19)*(1+'Assumptions'!$C$21)-'Scenarios'!$G$20*$I6*'Assumptions'!$C$21)/('Assumptions'!$C$20-'Assumptions'!$C$21)/(1+'Assumptions'!$C$20)^'Scenarios'!$G$28+'Assumptions'!$C$10-'Assumptions'!$C$11)/'Assumptions'!$C$7</x:f>
        <x:v>232.6232197306323</x:v>
      </x:c>
      <x:c r="M6" s="9" t="n">
        <x:f>('Scenarios'!$O$6+(('Scenarios'!$G$12*$I6*M$5*(1-'Assumptions'!$C$12)+'Scenarios'!$G$18-'Scenarios'!$G$19)*(1+'Assumptions'!$C$21)-'Scenarios'!$G$20*$I6*'Assumptions'!$C$21)/('Assumptions'!$C$20-'Assumptions'!$C$21)/(1+'Assumptions'!$C$20)^'Scenarios'!$G$28+'Assumptions'!$C$10-'Assumptions'!$C$11)/'Assumptions'!$C$7</x:f>
        <x:v>245.78587004322432</x:v>
      </x:c>
      <x:c r="N6" s="9" t="n">
        <x:f>('Scenarios'!$O$6+(('Scenarios'!$G$12*$I6*N$5*(1-'Assumptions'!$C$12)+'Scenarios'!$G$18-'Scenarios'!$G$19)*(1+'Assumptions'!$C$21)-'Scenarios'!$G$20*$I6*'Assumptions'!$C$21)/('Assumptions'!$C$20-'Assumptions'!$C$21)/(1+'Assumptions'!$C$20)^'Scenarios'!$G$28+'Assumptions'!$C$10-'Assumptions'!$C$11)/'Assumptions'!$C$7</x:f>
        <x:v>258.94852035581636</x:v>
      </x:c>
    </x:row>
    <x:row r="7" ht="23" customHeight="1">
      <x:c r="A7" s="4"/>
      <x:c r="B7" s="68" t="n">
        <x:f>'Assumptions'!C21-0.005</x:f>
        <x:v>0.0225</x:v>
      </x:c>
      <x:c r="C7" s="191" t="n">
        <x:f>IF(C$5&gt;$B7,('Scenarios'!$C$22*'Scenarios'!$C$29/(1+C$5)^'Scenarios'!$C$28+'Scenarios'!$D$22/(1+C$5)^'Scenarios'!$D$28+'Scenarios'!$E$22/(1+C$5)^'Scenarios'!$E$28+'Scenarios'!$F$22/(1+C$5)^'Scenarios'!$F$28+'Scenarios'!$G$22/(1+C$5)^'Scenarios'!$G$28+('Scenarios'!$G$17*(1+$B7)*(1-$B7/'Assumptions'!$C$74))/(C$5-$B7)/(1+C$5)^'Scenarios'!$G$28+'Assumptions'!$C$10-'Assumptions'!$C$11)/'Assumptions'!$C$7,"n.a.")</x:f>
        <x:v>270.9851473393747</x:v>
      </x:c>
      <x:c r="D7" s="191" t="n">
        <x:f>IF(D$5&gt;$B7,('Scenarios'!$C$22*'Scenarios'!$C$29/(1+D$5)^'Scenarios'!$C$28+'Scenarios'!$D$22/(1+D$5)^'Scenarios'!$D$28+'Scenarios'!$E$22/(1+D$5)^'Scenarios'!$E$28+'Scenarios'!$F$22/(1+D$5)^'Scenarios'!$F$28+'Scenarios'!$G$22/(1+D$5)^'Scenarios'!$G$28+('Scenarios'!$G$17*(1+$B7)*(1-$B7/'Assumptions'!$C$74))/(D$5-$B7)/(1+D$5)^'Scenarios'!$G$28+'Assumptions'!$C$10-'Assumptions'!$C$11)/'Assumptions'!$C$7,"n.a.")</x:f>
        <x:v>244.523864363998</x:v>
      </x:c>
      <x:c r="E7" s="191" t="n">
        <x:f>IF(E$5&gt;$B7,('Scenarios'!$C$22*'Scenarios'!$C$29/(1+E$5)^'Scenarios'!$C$28+'Scenarios'!$D$22/(1+E$5)^'Scenarios'!$D$28+'Scenarios'!$E$22/(1+E$5)^'Scenarios'!$E$28+'Scenarios'!$F$22/(1+E$5)^'Scenarios'!$F$28+'Scenarios'!$G$22/(1+E$5)^'Scenarios'!$G$28+('Scenarios'!$G$17*(1+$B7)*(1-$B7/'Assumptions'!$C$74))/(E$5-$B7)/(1+E$5)^'Scenarios'!$G$28+'Assumptions'!$C$10-'Assumptions'!$C$11)/'Assumptions'!$C$7,"n.a.")</x:f>
        <x:v>222.6674057740634</x:v>
      </x:c>
      <x:c r="F7" s="191" t="n">
        <x:f>IF(F$5&gt;$B7,('Scenarios'!$C$22*'Scenarios'!$C$29/(1+F$5)^'Scenarios'!$C$28+'Scenarios'!$D$22/(1+F$5)^'Scenarios'!$D$28+'Scenarios'!$E$22/(1+F$5)^'Scenarios'!$E$28+'Scenarios'!$F$22/(1+F$5)^'Scenarios'!$F$28+'Scenarios'!$G$22/(1+F$5)^'Scenarios'!$G$28+('Scenarios'!$G$17*(1+$B7)*(1-$B7/'Assumptions'!$C$74))/(F$5-$B7)/(1+F$5)^'Scenarios'!$G$28+'Assumptions'!$C$10-'Assumptions'!$C$11)/'Assumptions'!$C$7,"n.a.")</x:f>
        <x:v>204.3098997077493</x:v>
      </x:c>
      <x:c r="G7" s="191" t="n">
        <x:f>IF(G$5&gt;$B7,('Scenarios'!$C$22*'Scenarios'!$C$29/(1+G$5)^'Scenarios'!$C$28+'Scenarios'!$D$22/(1+G$5)^'Scenarios'!$D$28+'Scenarios'!$E$22/(1+G$5)^'Scenarios'!$E$28+'Scenarios'!$F$22/(1+G$5)^'Scenarios'!$F$28+'Scenarios'!$G$22/(1+G$5)^'Scenarios'!$G$28+('Scenarios'!$G$17*(1+$B7)*(1-$B7/'Assumptions'!$C$74))/(G$5-$B7)/(1+G$5)^'Scenarios'!$G$28+'Assumptions'!$C$10-'Assumptions'!$C$11)/'Assumptions'!$C$7,"n.a.")</x:f>
        <x:v>188.6733526373684</x:v>
      </x:c>
      <x:c r="H7" s="4"/>
      <x:c r="I7" s="72" t="n">
        <x:v>0.95</x:v>
      </x:c>
      <x:c r="J7" s="9" t="n">
        <x:f>('Scenarios'!$O$6+(('Scenarios'!$G$12*$I7*J$5*(1-'Assumptions'!$C$12)+'Scenarios'!$G$18-'Scenarios'!$G$19)*(1+'Assumptions'!$C$21)-'Scenarios'!$G$20*$I7*'Assumptions'!$C$21)/('Assumptions'!$C$20-'Assumptions'!$C$21)/(1+'Assumptions'!$C$20)^'Scenarios'!$G$28+'Assumptions'!$C$10-'Assumptions'!$C$11)/'Assumptions'!$C$7</x:f>
        <x:v>215.28722591111574</x:v>
      </x:c>
      <x:c r="K7" s="9" t="n">
        <x:f>('Scenarios'!$O$6+(('Scenarios'!$G$12*$I7*K$5*(1-'Assumptions'!$C$12)+'Scenarios'!$G$18-'Scenarios'!$G$19)*(1+'Assumptions'!$C$21)-'Scenarios'!$G$20*$I7*'Assumptions'!$C$21)/('Assumptions'!$C$20-'Assumptions'!$C$21)/(1+'Assumptions'!$C$20)^'Scenarios'!$G$28+'Assumptions'!$C$10-'Assumptions'!$C$11)/'Assumptions'!$C$7</x:f>
        <x:v>229.1811345744073</x:v>
      </x:c>
      <x:c r="L7" s="9" t="n">
        <x:f>('Scenarios'!$O$6+(('Scenarios'!$G$12*$I7*L$5*(1-'Assumptions'!$C$12)+'Scenarios'!$G$18-'Scenarios'!$G$19)*(1+'Assumptions'!$C$21)-'Scenarios'!$G$20*$I7*'Assumptions'!$C$21)/('Assumptions'!$C$20-'Assumptions'!$C$21)/(1+'Assumptions'!$C$20)^'Scenarios'!$G$28+'Assumptions'!$C$10-'Assumptions'!$C$11)/'Assumptions'!$C$7</x:f>
        <x:v>243.07504323769885</x:v>
      </x:c>
      <x:c r="M7" s="9" t="n">
        <x:f>('Scenarios'!$O$6+(('Scenarios'!$G$12*$I7*M$5*(1-'Assumptions'!$C$12)+'Scenarios'!$G$18-'Scenarios'!$G$19)*(1+'Assumptions'!$C$21)-'Scenarios'!$G$20*$I7*'Assumptions'!$C$21)/('Assumptions'!$C$20-'Assumptions'!$C$21)/(1+'Assumptions'!$C$20)^'Scenarios'!$G$28+'Assumptions'!$C$10-'Assumptions'!$C$11)/'Assumptions'!$C$7</x:f>
        <x:v>256.9689519009905</x:v>
      </x:c>
      <x:c r="N7" s="9" t="n">
        <x:f>('Scenarios'!$O$6+(('Scenarios'!$G$12*$I7*N$5*(1-'Assumptions'!$C$12)+'Scenarios'!$G$18-'Scenarios'!$G$19)*(1+'Assumptions'!$C$21)-'Scenarios'!$G$20*$I7*'Assumptions'!$C$21)/('Assumptions'!$C$20-'Assumptions'!$C$21)/(1+'Assumptions'!$C$20)^'Scenarios'!$G$28+'Assumptions'!$C$10-'Assumptions'!$C$11)/'Assumptions'!$C$7</x:f>
        <x:v>270.8628605642821</x:v>
      </x:c>
    </x:row>
    <x:row r="8" ht="23" customHeight="1">
      <x:c r="A8" s="4"/>
      <x:c r="B8" s="68" t="n">
        <x:f>'Assumptions'!C21+0</x:f>
        <x:v>0.0275</x:v>
      </x:c>
      <x:c r="C8" s="191" t="n">
        <x:f>IF(C$5&gt;$B8,('Scenarios'!$C$22*'Scenarios'!$C$29/(1+C$5)^'Scenarios'!$C$28+'Scenarios'!$D$22/(1+C$5)^'Scenarios'!$D$28+'Scenarios'!$E$22/(1+C$5)^'Scenarios'!$E$28+'Scenarios'!$F$22/(1+C$5)^'Scenarios'!$F$28+'Scenarios'!$G$22/(1+C$5)^'Scenarios'!$G$28+('Scenarios'!$G$17*(1+$B8)*(1-$B8/'Assumptions'!$C$74))/(C$5-$B8)/(1+C$5)^'Scenarios'!$G$28+'Assumptions'!$C$10-'Assumptions'!$C$11)/'Assumptions'!$C$7,"n.a.")</x:f>
        <x:v>292.88113840152386</x:v>
      </x:c>
      <x:c r="D8" s="191" t="n">
        <x:f>IF(D$5&gt;$B8,('Scenarios'!$C$22*'Scenarios'!$C$29/(1+D$5)^'Scenarios'!$C$28+'Scenarios'!$D$22/(1+D$5)^'Scenarios'!$D$28+'Scenarios'!$E$22/(1+D$5)^'Scenarios'!$E$28+'Scenarios'!$F$22/(1+D$5)^'Scenarios'!$F$28+'Scenarios'!$G$22/(1+D$5)^'Scenarios'!$G$28+('Scenarios'!$G$17*(1+$B8)*(1-$B8/'Assumptions'!$C$74))/(D$5-$B8)/(1+D$5)^'Scenarios'!$G$28+'Assumptions'!$C$10-'Assumptions'!$C$11)/'Assumptions'!$C$7,"n.a.")</x:f>
        <x:v>261.48912339521235</x:v>
      </x:c>
      <x:c r="E8" s="192" t="n">
        <x:f>IF(E$5&gt;$B8,('Scenarios'!$C$22*'Scenarios'!$C$29/(1+E$5)^'Scenarios'!$C$28+'Scenarios'!$D$22/(1+E$5)^'Scenarios'!$D$28+'Scenarios'!$E$22/(1+E$5)^'Scenarios'!$E$28+'Scenarios'!$F$22/(1+E$5)^'Scenarios'!$F$28+'Scenarios'!$G$22/(1+E$5)^'Scenarios'!$G$28+('Scenarios'!$G$17*(1+$B8)*(1-$B8/'Assumptions'!$C$74))/(E$5-$B8)/(1+E$5)^'Scenarios'!$G$28+'Assumptions'!$C$10-'Assumptions'!$C$11)/'Assumptions'!$C$7,"n.a.")</x:f>
        <x:v>236.0772354282076</x:v>
      </x:c>
      <x:c r="F8" s="191" t="n">
        <x:f>IF(F$5&gt;$B8,('Scenarios'!$C$22*'Scenarios'!$C$29/(1+F$5)^'Scenarios'!$C$28+'Scenarios'!$D$22/(1+F$5)^'Scenarios'!$D$28+'Scenarios'!$E$22/(1+F$5)^'Scenarios'!$E$28+'Scenarios'!$F$22/(1+F$5)^'Scenarios'!$F$28+'Scenarios'!$G$22/(1+F$5)^'Scenarios'!$G$28+('Scenarios'!$G$17*(1+$B8)*(1-$B8/'Assumptions'!$C$74))/(F$5-$B8)/(1+F$5)^'Scenarios'!$G$28+'Assumptions'!$C$10-'Assumptions'!$C$11)/'Assumptions'!$C$7,"n.a.")</x:f>
        <x:v>215.0844109115516</x:v>
      </x:c>
      <x:c r="G8" s="191" t="n">
        <x:f>IF(G$5&gt;$B8,('Scenarios'!$C$22*'Scenarios'!$C$29/(1+G$5)^'Scenarios'!$C$28+'Scenarios'!$D$22/(1+G$5)^'Scenarios'!$D$28+'Scenarios'!$E$22/(1+G$5)^'Scenarios'!$E$28+'Scenarios'!$F$22/(1+G$5)^'Scenarios'!$F$28+'Scenarios'!$G$22/(1+G$5)^'Scenarios'!$G$28+('Scenarios'!$G$17*(1+$B8)*(1-$B8/'Assumptions'!$C$74))/(G$5-$B8)/(1+G$5)^'Scenarios'!$G$28+'Assumptions'!$C$10-'Assumptions'!$C$11)/'Assumptions'!$C$7,"n.a.")</x:f>
        <x:v>197.44947549882696</x:v>
      </x:c>
      <x:c r="H8" s="4"/>
      <x:c r="I8" s="72" t="n">
        <x:v>1</x:v>
      </x:c>
      <x:c r="J8" s="9" t="n">
        <x:f>('Scenarios'!$O$6+(('Scenarios'!$G$12*$I8*J$5*(1-'Assumptions'!$C$12)+'Scenarios'!$G$18-'Scenarios'!$G$19)*(1+'Assumptions'!$C$21)-'Scenarios'!$G$20*$I8*'Assumptions'!$C$21)/('Assumptions'!$C$20-'Assumptions'!$C$21)/(1+'Assumptions'!$C$20)^'Scenarios'!$G$28+'Assumptions'!$C$10-'Assumptions'!$C$11)/'Assumptions'!$C$7</x:f>
        <x:v>224.27653271678335</x:v>
      </x:c>
      <x:c r="K8" s="9" t="n">
        <x:f>('Scenarios'!$O$6+(('Scenarios'!$G$12*$I8*K$5*(1-'Assumptions'!$C$12)+'Scenarios'!$G$18-'Scenarios'!$G$19)*(1+'Assumptions'!$C$21)-'Scenarios'!$G$20*$I8*'Assumptions'!$C$21)/('Assumptions'!$C$20-'Assumptions'!$C$21)/(1+'Assumptions'!$C$20)^'Scenarios'!$G$28+'Assumptions'!$C$10-'Assumptions'!$C$11)/'Assumptions'!$C$7</x:f>
        <x:v>238.90169973077442</x:v>
      </x:c>
      <x:c r="L8" s="9" t="n">
        <x:f>('Scenarios'!$O$6+(('Scenarios'!$G$12*$I8*L$5*(1-'Assumptions'!$C$12)+'Scenarios'!$G$18-'Scenarios'!$G$19)*(1+'Assumptions'!$C$21)-'Scenarios'!$G$20*$I8*'Assumptions'!$C$21)/('Assumptions'!$C$20-'Assumptions'!$C$21)/(1+'Assumptions'!$C$20)^'Scenarios'!$G$28+'Assumptions'!$C$10-'Assumptions'!$C$11)/'Assumptions'!$C$7</x:f>
        <x:v>253.52686674476556</x:v>
      </x:c>
      <x:c r="M8" s="9" t="n">
        <x:f>('Scenarios'!$O$6+(('Scenarios'!$G$12*$I8*M$5*(1-'Assumptions'!$C$12)+'Scenarios'!$G$18-'Scenarios'!$G$19)*(1+'Assumptions'!$C$21)-'Scenarios'!$G$20*$I8*'Assumptions'!$C$21)/('Assumptions'!$C$20-'Assumptions'!$C$21)/(1+'Assumptions'!$C$20)^'Scenarios'!$G$28+'Assumptions'!$C$10-'Assumptions'!$C$11)/'Assumptions'!$C$7</x:f>
        <x:v>268.1520337587566</x:v>
      </x:c>
      <x:c r="N8" s="9" t="n">
        <x:f>('Scenarios'!$O$6+(('Scenarios'!$G$12*$I8*N$5*(1-'Assumptions'!$C$12)+'Scenarios'!$G$18-'Scenarios'!$G$19)*(1+'Assumptions'!$C$21)-'Scenarios'!$G$20*$I8*'Assumptions'!$C$21)/('Assumptions'!$C$20-'Assumptions'!$C$21)/(1+'Assumptions'!$C$20)^'Scenarios'!$G$28+'Assumptions'!$C$10-'Assumptions'!$C$11)/'Assumptions'!$C$7</x:f>
        <x:v>282.77720077274785</x:v>
      </x:c>
    </x:row>
    <x:row r="9" ht="23" customHeight="1">
      <x:c r="A9" s="4"/>
      <x:c r="B9" s="68" t="n">
        <x:f>'Assumptions'!C21+0.005</x:f>
        <x:v>0.0325</x:v>
      </x:c>
      <x:c r="C9" s="191" t="n">
        <x:f>IF(C$5&gt;$B9,('Scenarios'!$C$22*'Scenarios'!$C$29/(1+C$5)^'Scenarios'!$C$28+'Scenarios'!$D$22/(1+C$5)^'Scenarios'!$D$28+'Scenarios'!$E$22/(1+C$5)^'Scenarios'!$E$28+'Scenarios'!$F$22/(1+C$5)^'Scenarios'!$F$28+'Scenarios'!$G$22/(1+C$5)^'Scenarios'!$G$28+('Scenarios'!$G$17*(1+$B9)*(1-$B9/'Assumptions'!$C$74))/(C$5-$B9)/(1+C$5)^'Scenarios'!$G$28+'Assumptions'!$C$10-'Assumptions'!$C$11)/'Assumptions'!$C$7,"n.a.")</x:f>
        <x:v>320.56248639829323</x:v>
      </x:c>
      <x:c r="D9" s="191" t="n">
        <x:f>IF(D$5&gt;$B9,('Scenarios'!$C$22*'Scenarios'!$C$29/(1+D$5)^'Scenarios'!$C$28+'Scenarios'!$D$22/(1+D$5)^'Scenarios'!$D$28+'Scenarios'!$E$22/(1+D$5)^'Scenarios'!$E$28+'Scenarios'!$F$22/(1+D$5)^'Scenarios'!$F$28+'Scenarios'!$G$22/(1+D$5)^'Scenarios'!$G$28+('Scenarios'!$G$17*(1+$B9)*(1-$B9/'Assumptions'!$C$74))/(D$5-$B9)/(1+D$5)^'Scenarios'!$G$28+'Assumptions'!$C$10-'Assumptions'!$C$11)/'Assumptions'!$C$7,"n.a.")</x:f>
        <x:v>282.3982152405485</x:v>
      </x:c>
      <x:c r="E9" s="191" t="n">
        <x:f>IF(E$5&gt;$B9,('Scenarios'!$C$22*'Scenarios'!$C$29/(1+E$5)^'Scenarios'!$C$28+'Scenarios'!$D$22/(1+E$5)^'Scenarios'!$D$28+'Scenarios'!$E$22/(1+E$5)^'Scenarios'!$E$28+'Scenarios'!$F$22/(1+E$5)^'Scenarios'!$F$28+'Scenarios'!$G$22/(1+E$5)^'Scenarios'!$G$28+('Scenarios'!$G$17*(1+$B9)*(1-$B9/'Assumptions'!$C$74))/(E$5-$B9)/(1+E$5)^'Scenarios'!$G$28+'Assumptions'!$C$10-'Assumptions'!$C$11)/'Assumptions'!$C$7,"n.a.")</x:f>
        <x:v>252.2672058959328</x:v>
      </x:c>
      <x:c r="F9" s="191" t="n">
        <x:f>IF(F$5&gt;$B9,('Scenarios'!$C$22*'Scenarios'!$C$29/(1+F$5)^'Scenarios'!$C$28+'Scenarios'!$D$22/(1+F$5)^'Scenarios'!$D$28+'Scenarios'!$E$22/(1+F$5)^'Scenarios'!$E$28+'Scenarios'!$F$22/(1+F$5)^'Scenarios'!$F$28+'Scenarios'!$G$22/(1+F$5)^'Scenarios'!$G$28+('Scenarios'!$G$17*(1+$B9)*(1-$B9/'Assumptions'!$C$74))/(F$5-$B9)/(1+F$5)^'Scenarios'!$G$28+'Assumptions'!$C$10-'Assumptions'!$C$11)/'Assumptions'!$C$7,"n.a.")</x:f>
        <x:v>227.87259666905456</x:v>
      </x:c>
      <x:c r="G9" s="191" t="n">
        <x:f>IF(G$5&gt;$B9,('Scenarios'!$C$22*'Scenarios'!$C$29/(1+G$5)^'Scenarios'!$C$28+'Scenarios'!$D$22/(1+G$5)^'Scenarios'!$D$28+'Scenarios'!$E$22/(1+G$5)^'Scenarios'!$E$28+'Scenarios'!$F$22/(1+G$5)^'Scenarios'!$F$28+'Scenarios'!$G$22/(1+G$5)^'Scenarios'!$G$28+('Scenarios'!$G$17*(1+$B9)*(1-$B9/'Assumptions'!$C$74))/(G$5-$B9)/(1+G$5)^'Scenarios'!$G$28+'Assumptions'!$C$10-'Assumptions'!$C$11)/'Assumptions'!$C$7,"n.a.")</x:f>
        <x:v>207.71704185276525</x:v>
      </x:c>
      <x:c r="H9" s="4"/>
      <x:c r="I9" s="72" t="n">
        <x:v>1.05</x:v>
      </x:c>
      <x:c r="J9" s="9" t="n">
        <x:f>('Scenarios'!$O$6+(('Scenarios'!$G$12*$I9*J$5*(1-'Assumptions'!$C$12)+'Scenarios'!$G$18-'Scenarios'!$G$19)*(1+'Assumptions'!$C$21)-'Scenarios'!$G$20*$I9*'Assumptions'!$C$21)/('Assumptions'!$C$20-'Assumptions'!$C$21)/(1+'Assumptions'!$C$20)^'Scenarios'!$G$28+'Assumptions'!$C$10-'Assumptions'!$C$11)/'Assumptions'!$C$7</x:f>
        <x:v>233.2658395224508</x:v>
      </x:c>
      <x:c r="K9" s="9" t="n">
        <x:f>('Scenarios'!$O$6+(('Scenarios'!$G$12*$I9*K$5*(1-'Assumptions'!$C$12)+'Scenarios'!$G$18-'Scenarios'!$G$19)*(1+'Assumptions'!$C$21)-'Scenarios'!$G$20*$I9*'Assumptions'!$C$21)/('Assumptions'!$C$20-'Assumptions'!$C$21)/(1+'Assumptions'!$C$20)^'Scenarios'!$G$28+'Assumptions'!$C$10-'Assumptions'!$C$11)/'Assumptions'!$C$7</x:f>
        <x:v>248.62226488714145</x:v>
      </x:c>
      <x:c r="L9" s="9" t="n">
        <x:f>('Scenarios'!$O$6+(('Scenarios'!$G$12*$I9*L$5*(1-'Assumptions'!$C$12)+'Scenarios'!$G$18-'Scenarios'!$G$19)*(1+'Assumptions'!$C$21)-'Scenarios'!$G$20*$I9*'Assumptions'!$C$21)/('Assumptions'!$C$20-'Assumptions'!$C$21)/(1+'Assumptions'!$C$20)^'Scenarios'!$G$28+'Assumptions'!$C$10-'Assumptions'!$C$11)/'Assumptions'!$C$7</x:f>
        <x:v>263.9786902518321</x:v>
      </x:c>
      <x:c r="M9" s="9" t="n">
        <x:f>('Scenarios'!$O$6+(('Scenarios'!$G$12*$I9*M$5*(1-'Assumptions'!$C$12)+'Scenarios'!$G$18-'Scenarios'!$G$19)*(1+'Assumptions'!$C$21)-'Scenarios'!$G$20*$I9*'Assumptions'!$C$21)/('Assumptions'!$C$20-'Assumptions'!$C$21)/(1+'Assumptions'!$C$20)^'Scenarios'!$G$28+'Assumptions'!$C$10-'Assumptions'!$C$11)/'Assumptions'!$C$7</x:f>
        <x:v>279.33511561652284</x:v>
      </x:c>
      <x:c r="N9" s="9" t="n">
        <x:f>('Scenarios'!$O$6+(('Scenarios'!$G$12*$I9*N$5*(1-'Assumptions'!$C$12)+'Scenarios'!$G$18-'Scenarios'!$G$19)*(1+'Assumptions'!$C$21)-'Scenarios'!$G$20*$I9*'Assumptions'!$C$21)/('Assumptions'!$C$20-'Assumptions'!$C$21)/(1+'Assumptions'!$C$20)^'Scenarios'!$G$28+'Assumptions'!$C$10-'Assumptions'!$C$11)/'Assumptions'!$C$7</x:f>
        <x:v>294.69154098121356</x:v>
      </x:c>
    </x:row>
    <x:row r="10" ht="23" customHeight="1">
      <x:c r="A10" s="4"/>
      <x:c r="B10" s="68" t="n">
        <x:f>'Assumptions'!C21+0.01</x:f>
        <x:v>0.0375</x:v>
      </x:c>
      <x:c r="C10" s="191" t="n">
        <x:f>IF(C$5&gt;$B10,('Scenarios'!$C$22*'Scenarios'!$C$29/(1+C$5)^'Scenarios'!$C$28+'Scenarios'!$D$22/(1+C$5)^'Scenarios'!$D$28+'Scenarios'!$E$22/(1+C$5)^'Scenarios'!$E$28+'Scenarios'!$F$22/(1+C$5)^'Scenarios'!$F$28+'Scenarios'!$G$22/(1+C$5)^'Scenarios'!$G$28+('Scenarios'!$G$17*(1+$B10)*(1-$B10/'Assumptions'!$C$74))/(C$5-$B10)/(1+C$5)^'Scenarios'!$G$28+'Assumptions'!$C$10-'Assumptions'!$C$11)/'Assumptions'!$C$7,"n.a.")</x:f>
        <x:v>356.70301498568193</x:v>
      </x:c>
      <x:c r="D10" s="191" t="n">
        <x:f>IF(D$5&gt;$B10,('Scenarios'!$C$22*'Scenarios'!$C$29/(1+D$5)^'Scenarios'!$C$28+'Scenarios'!$D$22/(1+D$5)^'Scenarios'!$D$28+'Scenarios'!$E$22/(1+D$5)^'Scenarios'!$E$28+'Scenarios'!$F$22/(1+D$5)^'Scenarios'!$F$28+'Scenarios'!$G$22/(1+D$5)^'Scenarios'!$G$28+('Scenarios'!$G$17*(1+$B10)*(1-$B10/'Assumptions'!$C$74))/(D$5-$B10)/(1+D$5)^'Scenarios'!$G$28+'Assumptions'!$C$10-'Assumptions'!$C$11)/'Assumptions'!$C$7,"n.a.")</x:f>
        <x:v>308.83054614623046</x:v>
      </x:c>
      <x:c r="E10" s="191" t="n">
        <x:f>IF(E$5&gt;$B10,('Scenarios'!$C$22*'Scenarios'!$C$29/(1+E$5)^'Scenarios'!$C$28+'Scenarios'!$D$22/(1+E$5)^'Scenarios'!$D$28+'Scenarios'!$E$22/(1+E$5)^'Scenarios'!$E$28+'Scenarios'!$F$22/(1+E$5)^'Scenarios'!$F$28+'Scenarios'!$G$22/(1+E$5)^'Scenarios'!$G$28+('Scenarios'!$G$17*(1+$B10)*(1-$B10/'Assumptions'!$C$74))/(E$5-$B10)/(1+E$5)^'Scenarios'!$G$28+'Assumptions'!$C$10-'Assumptions'!$C$11)/'Assumptions'!$C$7,"n.a.")</x:f>
        <x:v>272.21957121639167</x:v>
      </x:c>
      <x:c r="F10" s="191" t="n">
        <x:f>IF(F$5&gt;$B10,('Scenarios'!$C$22*'Scenarios'!$C$29/(1+F$5)^'Scenarios'!$C$28+'Scenarios'!$D$22/(1+F$5)^'Scenarios'!$D$28+'Scenarios'!$E$22/(1+F$5)^'Scenarios'!$E$28+'Scenarios'!$F$22/(1+F$5)^'Scenarios'!$F$28+'Scenarios'!$G$22/(1+F$5)^'Scenarios'!$G$28+('Scenarios'!$G$17*(1+$B10)*(1-$B10/'Assumptions'!$C$74))/(F$5-$B10)/(1+F$5)^'Scenarios'!$G$28+'Assumptions'!$C$10-'Assumptions'!$C$11)/'Assumptions'!$C$7,"n.a.")</x:f>
        <x:v>243.31095014877368</x:v>
      </x:c>
      <x:c r="G10" s="191" t="n">
        <x:f>IF(G$5&gt;$B10,('Scenarios'!$C$22*'Scenarios'!$C$29/(1+G$5)^'Scenarios'!$C$28+'Scenarios'!$D$22/(1+G$5)^'Scenarios'!$D$28+'Scenarios'!$E$22/(1+G$5)^'Scenarios'!$E$28+'Scenarios'!$F$22/(1+G$5)^'Scenarios'!$F$28+'Scenarios'!$G$22/(1+G$5)^'Scenarios'!$G$28+('Scenarios'!$G$17*(1+$B10)*(1-$B10/'Assumptions'!$C$74))/(G$5-$B10)/(1+G$5)^'Scenarios'!$G$28+'Assumptions'!$C$10-'Assumptions'!$C$11)/'Assumptions'!$C$7,"n.a.")</x:f>
        <x:v>219.902539696928</x:v>
      </x:c>
      <x:c r="H10" s="4"/>
      <x:c r="I10" s="72" t="n">
        <x:v>1.1</x:v>
      </x:c>
      <x:c r="J10" s="9" t="n">
        <x:f>('Scenarios'!$O$6+(('Scenarios'!$G$12*$I10*J$5*(1-'Assumptions'!$C$12)+'Scenarios'!$G$18-'Scenarios'!$G$19)*(1+'Assumptions'!$C$21)-'Scenarios'!$G$20*$I10*'Assumptions'!$C$21)/('Assumptions'!$C$20-'Assumptions'!$C$21)/(1+'Assumptions'!$C$20)^'Scenarios'!$G$28+'Assumptions'!$C$10-'Assumptions'!$C$11)/'Assumptions'!$C$7</x:f>
        <x:v>242.25514632811831</x:v>
      </x:c>
      <x:c r="K10" s="9" t="n">
        <x:f>('Scenarios'!$O$6+(('Scenarios'!$G$12*$I10*K$5*(1-'Assumptions'!$C$12)+'Scenarios'!$G$18-'Scenarios'!$G$19)*(1+'Assumptions'!$C$21)-'Scenarios'!$G$20*$I10*'Assumptions'!$C$21)/('Assumptions'!$C$20-'Assumptions'!$C$21)/(1+'Assumptions'!$C$20)^'Scenarios'!$G$28+'Assumptions'!$C$10-'Assumptions'!$C$11)/'Assumptions'!$C$7</x:f>
        <x:v>258.34283004350857</x:v>
      </x:c>
      <x:c r="L10" s="9" t="n">
        <x:f>('Scenarios'!$O$6+(('Scenarios'!$G$12*$I10*L$5*(1-'Assumptions'!$C$12)+'Scenarios'!$G$18-'Scenarios'!$G$19)*(1+'Assumptions'!$C$21)-'Scenarios'!$G$20*$I10*'Assumptions'!$C$21)/('Assumptions'!$C$20-'Assumptions'!$C$21)/(1+'Assumptions'!$C$20)^'Scenarios'!$G$28+'Assumptions'!$C$10-'Assumptions'!$C$11)/'Assumptions'!$C$7</x:f>
        <x:v>274.43051375889877</x:v>
      </x:c>
      <x:c r="M10" s="9" t="n">
        <x:f>('Scenarios'!$O$6+(('Scenarios'!$G$12*$I10*M$5*(1-'Assumptions'!$C$12)+'Scenarios'!$G$18-'Scenarios'!$G$19)*(1+'Assumptions'!$C$21)-'Scenarios'!$G$20*$I10*'Assumptions'!$C$21)/('Assumptions'!$C$20-'Assumptions'!$C$21)/(1+'Assumptions'!$C$20)^'Scenarios'!$G$28+'Assumptions'!$C$10-'Assumptions'!$C$11)/'Assumptions'!$C$7</x:f>
        <x:v>290.518197474289</x:v>
      </x:c>
      <x:c r="N10" s="9" t="n">
        <x:f>('Scenarios'!$O$6+(('Scenarios'!$G$12*$I10*N$5*(1-'Assumptions'!$C$12)+'Scenarios'!$G$18-'Scenarios'!$G$19)*(1+'Assumptions'!$C$21)-'Scenarios'!$G$20*$I10*'Assumptions'!$C$21)/('Assumptions'!$C$20-'Assumptions'!$C$21)/(1+'Assumptions'!$C$20)^'Scenarios'!$G$28+'Assumptions'!$C$10-'Assumptions'!$C$11)/'Assumptions'!$C$7</x:f>
        <x:v>306.6058811896793</x:v>
      </x:c>
    </x:row>
    <x:row r="11" ht="23" customHeight="1">
      <x:c r="A11" s="4"/>
      <x:c r="B11" s="4"/>
      <x:c r="C11" s="4"/>
      <x:c r="D11" s="4"/>
      <x:c r="E11" s="4"/>
      <x:c r="F11" s="4"/>
      <x:c r="G11" s="4"/>
      <x:c r="H11" s="4"/>
      <x:c r="I11" s="4"/>
      <x:c r="J11" s="4"/>
      <x:c r="K11" s="4"/>
      <x:c r="L11" s="4"/>
      <x:c r="M11" s="4"/>
      <x:c r="N11" s="4"/>
    </x:row>
    <x:row r="12" ht="23" customHeight="1">
      <x:c r="A12" s="4"/>
      <x:c r="B12" s="4"/>
      <x:c r="C12" s="4"/>
      <x:c r="D12" s="4"/>
      <x:c r="E12" s="4"/>
      <x:c r="F12" s="4"/>
      <x:c r="G12" s="4"/>
      <x:c r="H12" s="4"/>
      <x:c r="I12" s="4"/>
      <x:c r="J12" s="4"/>
      <x:c r="K12" s="4"/>
      <x:c r="L12" s="4"/>
      <x:c r="M12" s="4"/>
      <x:c r="N12" s="4"/>
    </x:row>
    <x:row r="13" ht="23" customHeight="1">
      <x:c r="A13" s="4"/>
      <x:c r="B13" s="4"/>
      <x:c r="C13" s="4"/>
      <x:c r="D13" s="4"/>
      <x:c r="E13" s="4"/>
      <x:c r="F13" s="4"/>
      <x:c r="G13" s="4"/>
      <x:c r="H13" s="4"/>
      <x:c r="I13" s="4"/>
      <x:c r="J13" s="4"/>
      <x:c r="K13" s="4"/>
      <x:c r="L13" s="4"/>
      <x:c r="M13" s="4"/>
      <x:c r="N13" s="4"/>
    </x:row>
    <x:row r="14" ht="25" customHeight="1">
      <x:c r="A14" s="4"/>
      <x:c r="B14" s="57" t="str">
        <x:v>Terminal ROIC vs. Growth (explicit forecast fixed)</x:v>
      </x:c>
      <x:c r="C14" s="58"/>
      <x:c r="D14" s="58"/>
      <x:c r="E14" s="58"/>
      <x:c r="F14" s="58"/>
      <x:c r="G14" s="58"/>
      <x:c r="H14" s="4"/>
      <x:c r="I14" s="4"/>
      <x:c r="J14" s="4"/>
      <x:c r="K14" s="4"/>
      <x:c r="L14" s="4"/>
      <x:c r="M14" s="4"/>
      <x:c r="N14" s="4"/>
    </x:row>
    <x:row r="15" ht="34" customHeight="1">
      <x:c r="A15" s="4"/>
      <x:c r="B15" s="32" t="str">
        <x:v>Growth / ROIC</x:v>
      </x:c>
      <x:c r="C15" s="76" t="n">
        <x:f>'Assumptions'!C74-0.1</x:f>
        <x:v>0.15</x:v>
      </x:c>
      <x:c r="D15" s="76" t="n">
        <x:f>'Assumptions'!C74-0.05</x:f>
        <x:v>0.2</x:v>
      </x:c>
      <x:c r="E15" s="76" t="n">
        <x:f>'Assumptions'!C74+0</x:f>
        <x:v>0.25</x:v>
      </x:c>
      <x:c r="F15" s="76" t="n">
        <x:f>'Assumptions'!C74+0.05</x:f>
        <x:v>0.3</x:v>
      </x:c>
      <x:c r="G15" s="76" t="n">
        <x:f>'Assumptions'!C74+0.1</x:f>
        <x:v>0.35</x:v>
      </x:c>
      <x:c r="H15" s="4"/>
      <x:c r="I15" s="4"/>
      <x:c r="J15" s="4"/>
      <x:c r="K15" s="4"/>
      <x:c r="L15" s="4"/>
      <x:c r="M15" s="4"/>
      <x:c r="N15" s="4"/>
    </x:row>
    <x:row r="16" ht="23" customHeight="1">
      <x:c r="A16" s="4"/>
      <x:c r="B16" s="68" t="n">
        <x:f>'Assumptions'!C21-0.01</x:f>
        <x:v>0.0175</x:v>
      </x:c>
      <x:c r="C16" s="191" t="n">
        <x:f>('Scenarios'!$O$6+'Scenarios'!$G$17*(1+$B16)*(1-$B16/C$15)/('Assumptions'!C20-$B16)/(1+'Assumptions'!C20)^'Scenarios'!$G$28+'Assumptions'!$C$10-'Assumptions'!$C$11)/'Assumptions'!$C$7</x:f>
        <x:v>203.1390842092518</x:v>
      </x:c>
      <x:c r="D16" s="191" t="n">
        <x:f>('Scenarios'!$O$6+'Scenarios'!$G$17*(1+$B16)*(1-$B16/D$15)/('Assumptions'!C20-$B16)/(1+'Assumptions'!C20)^'Scenarios'!$G$28+'Assumptions'!$C$10-'Assumptions'!$C$11)/'Assumptions'!$C$7</x:f>
        <x:v>208.2834115850829</x:v>
      </x:c>
      <x:c r="E16" s="191" t="n">
        <x:f>('Scenarios'!$O$6+'Scenarios'!$G$17*(1+$B16)*(1-$B16/E$15)/('Assumptions'!C20-$B16)/(1+'Assumptions'!C20)^'Scenarios'!$G$28+'Assumptions'!$C$10-'Assumptions'!$C$11)/'Assumptions'!$C$7</x:f>
        <x:v>211.37000801058156</x:v>
      </x:c>
      <x:c r="F16" s="191" t="n">
        <x:f>('Scenarios'!$O$6+'Scenarios'!$G$17*(1+$B16)*(1-$B16/F$15)/('Assumptions'!C20-$B16)/(1+'Assumptions'!C20)^'Scenarios'!$G$28+'Assumptions'!$C$10-'Assumptions'!$C$11)/'Assumptions'!$C$7</x:f>
        <x:v>213.427738960914</x:v>
      </x:c>
      <x:c r="G16" s="191" t="n">
        <x:f>('Scenarios'!$O$6+'Scenarios'!$G$17*(1+$B16)*(1-$B16/G$15)/('Assumptions'!C20-$B16)/(1+'Assumptions'!C20)^'Scenarios'!$G$28+'Assumptions'!$C$10-'Assumptions'!$C$11)/'Assumptions'!$C$7</x:f>
        <x:v>214.8975467825801</x:v>
      </x:c>
      <x:c r="H16" s="4"/>
      <x:c r="I16" s="4"/>
      <x:c r="J16" s="4"/>
      <x:c r="K16" s="4"/>
      <x:c r="L16" s="4"/>
      <x:c r="M16" s="4"/>
      <x:c r="N16" s="4"/>
    </x:row>
    <x:row r="17" ht="23" customHeight="1">
      <x:c r="A17" s="4"/>
      <x:c r="B17" s="68" t="n">
        <x:f>'Assumptions'!C21-0.005</x:f>
        <x:v>0.0225</x:v>
      </x:c>
      <x:c r="C17" s="191" t="n">
        <x:f>('Scenarios'!$O$6+'Scenarios'!$G$17*(1+$B17)*(1-$B17/C$15)/('Assumptions'!C20-$B17)/(1+'Assumptions'!C20)^'Scenarios'!$G$28+'Assumptions'!$C$10-'Assumptions'!$C$11)/'Assumptions'!$C$7</x:f>
        <x:v>211.10732111506928</x:v>
      </x:c>
      <x:c r="D17" s="191" t="n">
        <x:f>('Scenarios'!$O$6+'Scenarios'!$G$17*(1+$B17)*(1-$B17/D$15)/('Assumptions'!C20-$B17)/(1+'Assumptions'!C20)^'Scenarios'!$G$28+'Assumptions'!$C$10-'Assumptions'!$C$11)/'Assumptions'!$C$7</x:f>
        <x:v>218.3323740269406</x:v>
      </x:c>
      <x:c r="E17" s="191" t="n">
        <x:f>('Scenarios'!$O$6+'Scenarios'!$G$17*(1+$B17)*(1-$B17/E$15)/('Assumptions'!C20-$B17)/(1+'Assumptions'!C20)^'Scenarios'!$G$28+'Assumptions'!$C$10-'Assumptions'!$C$11)/'Assumptions'!$C$7</x:f>
        <x:v>222.6674057740634</x:v>
      </x:c>
      <x:c r="F17" s="191" t="n">
        <x:f>('Scenarios'!$O$6+'Scenarios'!$G$17*(1+$B17)*(1-$B17/F$15)/('Assumptions'!C20-$B17)/(1+'Assumptions'!C20)^'Scenarios'!$G$28+'Assumptions'!$C$10-'Assumptions'!$C$11)/'Assumptions'!$C$7</x:f>
        <x:v>225.557426938812</x:v>
      </x:c>
      <x:c r="G17" s="191" t="n">
        <x:f>('Scenarios'!$O$6+'Scenarios'!$G$17*(1+$B17)*(1-$B17/G$15)/('Assumptions'!C20-$B17)/(1+'Assumptions'!C20)^'Scenarios'!$G$28+'Assumptions'!$C$10-'Assumptions'!$C$11)/'Assumptions'!$C$7</x:f>
        <x:v>227.62172777077524</x:v>
      </x:c>
      <x:c r="H17" s="4"/>
      <x:c r="I17" s="4"/>
      <x:c r="J17" s="4"/>
      <x:c r="K17" s="4"/>
      <x:c r="L17" s="4"/>
      <x:c r="M17" s="4"/>
      <x:c r="N17" s="4"/>
    </x:row>
    <x:row r="18" ht="23" customHeight="1">
      <x:c r="A18" s="4"/>
      <x:c r="B18" s="68" t="n">
        <x:f>'Assumptions'!C21+0</x:f>
        <x:v>0.0275</x:v>
      </x:c>
      <x:c r="C18" s="191" t="n">
        <x:f>('Scenarios'!$O$6+'Scenarios'!$G$17*(1+$B18)*(1-$B18/C$15)/('Assumptions'!C20-$B18)/(1+'Assumptions'!C20)^'Scenarios'!$G$28+'Assumptions'!$C$10-'Assumptions'!$C$11)/'Assumptions'!$C$7</x:f>
        <x:v>220.52580783666363</x:v>
      </x:c>
      <x:c r="D18" s="191" t="n">
        <x:f>('Scenarios'!$O$6+'Scenarios'!$G$17*(1+$B18)*(1-$B18/D$15)/('Assumptions'!C20-$B18)/(1+'Assumptions'!C20)^'Scenarios'!$G$28+'Assumptions'!$C$10-'Assumptions'!$C$11)/'Assumptions'!$C$7</x:f>
        <x:v>230.2454500813786</x:v>
      </x:c>
      <x:c r="E18" s="191" t="n">
        <x:f>('Scenarios'!$O$6+'Scenarios'!$G$17*(1+$B18)*(1-$B18/E$15)/('Assumptions'!C20-$B18)/(1+'Assumptions'!C20)^'Scenarios'!$G$28+'Assumptions'!$C$10-'Assumptions'!$C$11)/'Assumptions'!$C$7</x:f>
        <x:v>236.0772354282076</x:v>
      </x:c>
      <x:c r="F18" s="191" t="n">
        <x:f>('Scenarios'!$O$6+'Scenarios'!$G$17*(1+$B18)*(1-$B18/F$15)/('Assumptions'!C20-$B18)/(1+'Assumptions'!C20)^'Scenarios'!$G$28+'Assumptions'!$C$10-'Assumptions'!$C$11)/'Assumptions'!$C$7</x:f>
        <x:v>239.9650923260935</x:v>
      </x:c>
      <x:c r="G18" s="191" t="n">
        <x:f>('Scenarios'!$O$6+'Scenarios'!$G$17*(1+$B18)*(1-$B18/G$15)/('Assumptions'!C20-$B18)/(1+'Assumptions'!C20)^'Scenarios'!$G$28+'Assumptions'!$C$10-'Assumptions'!$C$11)/'Assumptions'!$C$7</x:f>
        <x:v>242.74213296744063</x:v>
      </x:c>
      <x:c r="H18" s="4"/>
      <x:c r="I18" s="4"/>
      <x:c r="J18" s="4"/>
      <x:c r="K18" s="4"/>
      <x:c r="L18" s="4"/>
      <x:c r="M18" s="4"/>
      <x:c r="N18" s="4"/>
    </x:row>
    <x:row r="19" ht="23" customHeight="1">
      <x:c r="A19" s="4"/>
      <x:c r="B19" s="68" t="n">
        <x:f>'Assumptions'!C21+0.005</x:f>
        <x:v>0.0325</x:v>
      </x:c>
      <x:c r="C19" s="191" t="n">
        <x:f>('Scenarios'!$O$6+'Scenarios'!$G$17*(1+$B19)*(1-$B19/C$15)/('Assumptions'!C20-$B19)/(1+'Assumptions'!C20)^'Scenarios'!$G$28+'Assumptions'!$C$10-'Assumptions'!$C$11)/'Assumptions'!$C$7</x:f>
        <x:v>231.85294719721517</x:v>
      </x:c>
      <x:c r="D19" s="191" t="n">
        <x:f>('Scenarios'!$O$6+'Scenarios'!$G$17*(1+$B19)*(1-$B19/D$15)/('Assumptions'!C20-$B19)/(1+'Assumptions'!C20)^'Scenarios'!$G$28+'Assumptions'!$C$10-'Assumptions'!$C$11)/'Assumptions'!$C$7</x:f>
        <x:v>244.61185888391367</x:v>
      </x:c>
      <x:c r="E19" s="191" t="n">
        <x:f>('Scenarios'!$O$6+'Scenarios'!$G$17*(1+$B19)*(1-$B19/E$15)/('Assumptions'!C20-$B19)/(1+'Assumptions'!C20)^'Scenarios'!$G$28+'Assumptions'!$C$10-'Assumptions'!$C$11)/'Assumptions'!$C$7</x:f>
        <x:v>252.2672058959328</x:v>
      </x:c>
      <x:c r="F19" s="191" t="n">
        <x:f>('Scenarios'!$O$6+'Scenarios'!$G$17*(1+$B19)*(1-$B19/F$15)/('Assumptions'!C20-$B19)/(1+'Assumptions'!C20)^'Scenarios'!$G$28+'Assumptions'!$C$10-'Assumptions'!$C$11)/'Assumptions'!$C$7</x:f>
        <x:v>257.37077057061214</x:v>
      </x:c>
      <x:c r="G19" s="191" t="n">
        <x:f>('Scenarios'!$O$6+'Scenarios'!$G$17*(1+$B19)*(1-$B19/G$15)/('Assumptions'!C20-$B19)/(1+'Assumptions'!C20)^'Scenarios'!$G$28+'Assumptions'!$C$10-'Assumptions'!$C$11)/'Assumptions'!$C$7</x:f>
        <x:v>261.01617390966885</x:v>
      </x:c>
      <x:c r="H19" s="4"/>
      <x:c r="I19" s="4"/>
      <x:c r="J19" s="4"/>
      <x:c r="K19" s="4"/>
      <x:c r="L19" s="4"/>
      <x:c r="M19" s="4"/>
      <x:c r="N19" s="4"/>
    </x:row>
    <x:row r="20" ht="23" customHeight="1">
      <x:c r="A20" s="4"/>
      <x:c r="B20" s="68" t="n">
        <x:f>'Assumptions'!C21+0.01</x:f>
        <x:v>0.0375</x:v>
      </x:c>
      <x:c r="C20" s="191" t="n">
        <x:f>('Scenarios'!$O$6+'Scenarios'!$G$17*(1+$B20)*(1-$B20/C$15)/('Assumptions'!C20-$B20)/(1+'Assumptions'!C20)^'Scenarios'!$G$28+'Assumptions'!$C$10-'Assumptions'!$C$11)/'Assumptions'!$C$7</x:f>
        <x:v>245.763086968893</x:v>
      </x:c>
      <x:c r="D20" s="191" t="n">
        <x:f>('Scenarios'!$O$6+'Scenarios'!$G$17*(1+$B20)*(1-$B20/D$15)/('Assumptions'!C20-$B20)/(1+'Assumptions'!C20)^'Scenarios'!$G$28+'Assumptions'!$C$10-'Assumptions'!$C$11)/'Assumptions'!$C$7</x:f>
        <x:v>262.29838962357974</x:v>
      </x:c>
      <x:c r="E20" s="191" t="n">
        <x:f>('Scenarios'!$O$6+'Scenarios'!$G$17*(1+$B20)*(1-$B20/E$15)/('Assumptions'!C20-$B20)/(1+'Assumptions'!C20)^'Scenarios'!$G$28+'Assumptions'!$C$10-'Assumptions'!$C$11)/'Assumptions'!$C$7</x:f>
        <x:v>272.21957121639167</x:v>
      </x:c>
      <x:c r="F20" s="191" t="n">
        <x:f>('Scenarios'!$O$6+'Scenarios'!$G$17*(1+$B20)*(1-$B20/F$15)/('Assumptions'!C20-$B20)/(1+'Assumptions'!C20)^'Scenarios'!$G$28+'Assumptions'!$C$10-'Assumptions'!$C$11)/'Assumptions'!$C$7</x:f>
        <x:v>278.8336922782664</x:v>
      </x:c>
      <x:c r="G20" s="191" t="n">
        <x:f>('Scenarios'!$O$6+'Scenarios'!$G$17*(1+$B20)*(1-$B20/G$15)/('Assumptions'!C20-$B20)/(1+'Assumptions'!C20)^'Scenarios'!$G$28+'Assumptions'!$C$10-'Assumptions'!$C$11)/'Assumptions'!$C$7</x:f>
        <x:v>283.5580644653197</x:v>
      </x:c>
      <x:c r="H20" s="4"/>
      <x:c r="I20" s="4"/>
      <x:c r="J20" s="4"/>
      <x:c r="K20" s="4"/>
      <x:c r="L20" s="4"/>
      <x:c r="M20" s="4"/>
      <x:c r="N20" s="4"/>
    </x:row>
    <x:row r="21" ht="23" customHeight="1">
      <x:c r="A21" s="4"/>
      <x:c r="B21" s="4"/>
      <x:c r="C21" s="4"/>
      <x:c r="D21" s="4"/>
      <x:c r="E21" s="4"/>
      <x:c r="F21" s="4"/>
      <x:c r="G21" s="4"/>
      <x:c r="H21" s="4"/>
      <x:c r="I21" s="4"/>
      <x:c r="J21" s="4"/>
      <x:c r="K21" s="4"/>
      <x:c r="L21" s="4"/>
      <x:c r="M21" s="4"/>
      <x:c r="N21" s="4"/>
    </x:row>
    <x:row r="22" ht="23" customHeight="1">
      <x:c r="A22" s="4"/>
      <x:c r="B22" s="4"/>
      <x:c r="C22" s="4"/>
      <x:c r="D22" s="4"/>
      <x:c r="E22" s="4"/>
      <x:c r="F22" s="4"/>
      <x:c r="G22" s="4"/>
      <x:c r="H22" s="4"/>
      <x:c r="I22" s="4"/>
      <x:c r="J22" s="4"/>
      <x:c r="K22" s="4"/>
      <x:c r="L22" s="4"/>
      <x:c r="M22" s="4"/>
      <x:c r="N22" s="4"/>
    </x:row>
    <x:row r="23" ht="23" customHeight="1">
      <x:c r="A23" s="4"/>
      <x:c r="B23" s="4"/>
      <x:c r="C23" s="4"/>
      <x:c r="D23" s="4"/>
      <x:c r="E23" s="4"/>
      <x:c r="F23" s="4"/>
      <x:c r="G23" s="4"/>
      <x:c r="H23" s="4"/>
      <x:c r="I23" s="4"/>
      <x:c r="J23" s="4"/>
      <x:c r="K23" s="4"/>
      <x:c r="L23" s="4"/>
      <x:c r="M23" s="4"/>
      <x:c r="N23" s="4"/>
    </x:row>
    <x:row r="24" ht="25" customHeight="1">
      <x:c r="A24" s="4"/>
      <x:c r="B24" s="57" t="str">
        <x:v>Terminal Multiple vs. EBITDA Margin</x:v>
      </x:c>
      <x:c r="C24" s="58"/>
      <x:c r="D24" s="58"/>
      <x:c r="E24" s="58"/>
      <x:c r="F24" s="58"/>
      <x:c r="G24" s="58"/>
      <x:c r="H24" s="4"/>
      <x:c r="I24" s="4"/>
      <x:c r="J24" s="4"/>
      <x:c r="K24" s="4"/>
      <x:c r="L24" s="4"/>
      <x:c r="M24" s="4"/>
      <x:c r="N24" s="4"/>
    </x:row>
    <x:row r="25" ht="34" customHeight="1">
      <x:c r="A25" s="4"/>
      <x:c r="B25" s="32" t="str">
        <x:v>Exit multiple / EBITDA margin</x:v>
      </x:c>
      <x:c r="C25" s="76" t="n">
        <x:f>'Scenarios'!G26-0.02</x:f>
        <x:v>0.294</x:v>
      </x:c>
      <x:c r="D25" s="76" t="n">
        <x:f>'Scenarios'!G26-0.01</x:f>
        <x:v>0.304</x:v>
      </x:c>
      <x:c r="E25" s="76" t="n">
        <x:f>'Scenarios'!G26+0</x:f>
        <x:v>0.314</x:v>
      </x:c>
      <x:c r="F25" s="76" t="n">
        <x:f>'Scenarios'!G26+0.01</x:f>
        <x:v>0.324</x:v>
      </x:c>
      <x:c r="G25" s="76" t="n">
        <x:f>'Scenarios'!G26+0.02</x:f>
        <x:v>0.334</x:v>
      </x:c>
      <x:c r="H25" s="4"/>
      <x:c r="I25" s="4"/>
      <x:c r="J25" s="4"/>
      <x:c r="K25" s="4"/>
      <x:c r="L25" s="4"/>
      <x:c r="M25" s="4"/>
      <x:c r="N25" s="4"/>
    </x:row>
    <x:row r="26" ht="23" customHeight="1">
      <x:c r="A26" s="4"/>
      <x:c r="B26" s="193" t="n">
        <x:f>'Assumptions'!C22-4</x:f>
        <x:v>8.397658328973776</x:v>
      </x:c>
      <x:c r="C26" s="191" t="n">
        <x:f>('Scenarios'!$O$6+'Scenarios'!$G$12*C$25*$B26/(1+'Assumptions'!$C$20)^'Scenarios'!$G$28+'Assumptions'!$C$10-'Assumptions'!$C$11)/'Assumptions'!$C$7</x:f>
        <x:v>167.0397066187946</x:v>
      </x:c>
      <x:c r="D26" s="191" t="n">
        <x:f>('Scenarios'!$O$6+'Scenarios'!$G$12*D$25*$B26/(1+'Assumptions'!$C$20)^'Scenarios'!$G$28+'Assumptions'!$C$10-'Assumptions'!$C$11)/'Assumptions'!$C$7</x:f>
        <x:v>171.11114374485393</x:v>
      </x:c>
      <x:c r="E26" s="191" t="n">
        <x:f>('Scenarios'!$O$6+'Scenarios'!$G$12*E$25*$B26/(1+'Assumptions'!$C$20)^'Scenarios'!$G$28+'Assumptions'!$C$10-'Assumptions'!$C$11)/'Assumptions'!$C$7</x:f>
        <x:v>175.18258087091317</x:v>
      </x:c>
      <x:c r="F26" s="191" t="n">
        <x:f>('Scenarios'!$O$6+'Scenarios'!$G$12*F$25*$B26/(1+'Assumptions'!$C$20)^'Scenarios'!$G$28+'Assumptions'!$C$10-'Assumptions'!$C$11)/'Assumptions'!$C$7</x:f>
        <x:v>179.25401799697244</x:v>
      </x:c>
      <x:c r="G26" s="191" t="n">
        <x:f>('Scenarios'!$O$6+'Scenarios'!$G$12*G$25*$B26/(1+'Assumptions'!$C$20)^'Scenarios'!$G$28+'Assumptions'!$C$10-'Assumptions'!$C$11)/'Assumptions'!$C$7</x:f>
        <x:v>183.32545512303173</x:v>
      </x:c>
      <x:c r="H26" s="4"/>
      <x:c r="I26" s="4"/>
      <x:c r="J26" s="4"/>
      <x:c r="K26" s="4"/>
      <x:c r="L26" s="4"/>
      <x:c r="M26" s="4"/>
      <x:c r="N26" s="4"/>
    </x:row>
    <x:row r="27" ht="23" customHeight="1">
      <x:c r="A27" s="4"/>
      <x:c r="B27" s="193" t="n">
        <x:f>'Assumptions'!C22-2</x:f>
        <x:v>10.397658328973776</x:v>
      </x:c>
      <x:c r="C27" s="191" t="n">
        <x:f>('Scenarios'!$O$6+'Scenarios'!$G$12*C$25*$B27/(1+'Assumptions'!$C$20)^'Scenarios'!$G$28+'Assumptions'!$C$10-'Assumptions'!$C$11)/'Assumptions'!$C$7</x:f>
        <x:v>195.5477136886108</x:v>
      </x:c>
      <x:c r="D27" s="191" t="n">
        <x:f>('Scenarios'!$O$6+'Scenarios'!$G$12*D$25*$B27/(1+'Assumptions'!$C$20)^'Scenarios'!$G$28+'Assumptions'!$C$10-'Assumptions'!$C$11)/'Assumptions'!$C$7</x:f>
        <x:v>200.5888109190856</x:v>
      </x:c>
      <x:c r="E27" s="191" t="n">
        <x:f>('Scenarios'!$O$6+'Scenarios'!$G$12*E$25*$B27/(1+'Assumptions'!$C$20)^'Scenarios'!$G$28+'Assumptions'!$C$10-'Assumptions'!$C$11)/'Assumptions'!$C$7</x:f>
        <x:v>205.62990814956038</x:v>
      </x:c>
      <x:c r="F27" s="191" t="n">
        <x:f>('Scenarios'!$O$6+'Scenarios'!$G$12*F$25*$B27/(1+'Assumptions'!$C$20)^'Scenarios'!$G$28+'Assumptions'!$C$10-'Assumptions'!$C$11)/'Assumptions'!$C$7</x:f>
        <x:v>210.67100538003513</x:v>
      </x:c>
      <x:c r="G27" s="191" t="n">
        <x:f>('Scenarios'!$O$6+'Scenarios'!$G$12*G$25*$B27/(1+'Assumptions'!$C$20)^'Scenarios'!$G$28+'Assumptions'!$C$10-'Assumptions'!$C$11)/'Assumptions'!$C$7</x:f>
        <x:v>215.71210261050996</x:v>
      </x:c>
      <x:c r="H27" s="4"/>
      <x:c r="I27" s="4"/>
      <x:c r="J27" s="4"/>
      <x:c r="K27" s="4"/>
      <x:c r="L27" s="4"/>
      <x:c r="M27" s="4"/>
      <x:c r="N27" s="4"/>
    </x:row>
    <x:row r="28" ht="23" customHeight="1">
      <x:c r="A28" s="4"/>
      <x:c r="B28" s="193" t="n">
        <x:f>'Assumptions'!C22+0</x:f>
        <x:v>12.397658328973776</x:v>
      </x:c>
      <x:c r="C28" s="191" t="n">
        <x:f>('Scenarios'!$O$6+'Scenarios'!$G$12*C$25*$B28/(1+'Assumptions'!$C$20)^'Scenarios'!$G$28+'Assumptions'!$C$10-'Assumptions'!$C$11)/'Assumptions'!$C$7</x:f>
        <x:v>224.05572075842693</x:v>
      </x:c>
      <x:c r="D28" s="191" t="n">
        <x:f>('Scenarios'!$O$6+'Scenarios'!$G$12*D$25*$B28/(1+'Assumptions'!$C$20)^'Scenarios'!$G$28+'Assumptions'!$C$10-'Assumptions'!$C$11)/'Assumptions'!$C$7</x:f>
        <x:v>230.06647809331724</x:v>
      </x:c>
      <x:c r="E28" s="191" t="n">
        <x:f>('Scenarios'!$O$6+'Scenarios'!$G$12*E$25*$B28/(1+'Assumptions'!$C$20)^'Scenarios'!$G$28+'Assumptions'!$C$10-'Assumptions'!$C$11)/'Assumptions'!$C$7</x:f>
        <x:v>236.0772354282076</x:v>
      </x:c>
      <x:c r="F28" s="191" t="n">
        <x:f>('Scenarios'!$O$6+'Scenarios'!$G$12*F$25*$B28/(1+'Assumptions'!$C$20)^'Scenarios'!$G$28+'Assumptions'!$C$10-'Assumptions'!$C$11)/'Assumptions'!$C$7</x:f>
        <x:v>242.08799276309784</x:v>
      </x:c>
      <x:c r="G28" s="191" t="n">
        <x:f>('Scenarios'!$O$6+'Scenarios'!$G$12*G$25*$B28/(1+'Assumptions'!$C$20)^'Scenarios'!$G$28+'Assumptions'!$C$10-'Assumptions'!$C$11)/'Assumptions'!$C$7</x:f>
        <x:v>248.09875009798816</x:v>
      </x:c>
      <x:c r="H28" s="4"/>
      <x:c r="I28" s="4"/>
      <x:c r="J28" s="4"/>
      <x:c r="K28" s="4"/>
      <x:c r="L28" s="4"/>
      <x:c r="M28" s="4"/>
      <x:c r="N28" s="4"/>
    </x:row>
    <x:row r="29" ht="23" customHeight="1">
      <x:c r="A29" s="4"/>
      <x:c r="B29" s="193" t="n">
        <x:f>'Assumptions'!C22+2</x:f>
        <x:v>14.397658328973776</x:v>
      </x:c>
      <x:c r="C29" s="191" t="n">
        <x:f>('Scenarios'!$O$6+'Scenarios'!$G$12*C$25*$B29/(1+'Assumptions'!$C$20)^'Scenarios'!$G$28+'Assumptions'!$C$10-'Assumptions'!$C$11)/'Assumptions'!$C$7</x:f>
        <x:v>252.56372782824312</x:v>
      </x:c>
      <x:c r="D29" s="191" t="n">
        <x:f>('Scenarios'!$O$6+'Scenarios'!$G$12*D$25*$B29/(1+'Assumptions'!$C$20)^'Scenarios'!$G$28+'Assumptions'!$C$10-'Assumptions'!$C$11)/'Assumptions'!$C$7</x:f>
        <x:v>259.54414526754897</x:v>
      </x:c>
      <x:c r="E29" s="191" t="n">
        <x:f>('Scenarios'!$O$6+'Scenarios'!$G$12*E$25*$B29/(1+'Assumptions'!$C$20)^'Scenarios'!$G$28+'Assumptions'!$C$10-'Assumptions'!$C$11)/'Assumptions'!$C$7</x:f>
        <x:v>266.5245627068548</x:v>
      </x:c>
      <x:c r="F29" s="191" t="n">
        <x:f>('Scenarios'!$O$6+'Scenarios'!$G$12*F$25*$B29/(1+'Assumptions'!$C$20)^'Scenarios'!$G$28+'Assumptions'!$C$10-'Assumptions'!$C$11)/'Assumptions'!$C$7</x:f>
        <x:v>273.50498014616056</x:v>
      </x:c>
      <x:c r="G29" s="191" t="n">
        <x:f>('Scenarios'!$O$6+'Scenarios'!$G$12*G$25*$B29/(1+'Assumptions'!$C$20)^'Scenarios'!$G$28+'Assumptions'!$C$10-'Assumptions'!$C$11)/'Assumptions'!$C$7</x:f>
        <x:v>280.4853975854664</x:v>
      </x:c>
      <x:c r="H29" s="4"/>
      <x:c r="I29" s="4"/>
      <x:c r="J29" s="4"/>
      <x:c r="K29" s="4"/>
      <x:c r="L29" s="4"/>
      <x:c r="M29" s="4"/>
      <x:c r="N29" s="4"/>
    </x:row>
    <x:row r="30" ht="23" customHeight="1">
      <x:c r="A30" s="4"/>
      <x:c r="B30" s="193" t="n">
        <x:f>'Assumptions'!C22+4</x:f>
        <x:v>16.397658328973776</x:v>
      </x:c>
      <x:c r="C30" s="191" t="n">
        <x:f>('Scenarios'!$O$6+'Scenarios'!$G$12*C$25*$B30/(1+'Assumptions'!$C$20)^'Scenarios'!$G$28+'Assumptions'!$C$10-'Assumptions'!$C$11)/'Assumptions'!$C$7</x:f>
        <x:v>281.0717348980593</x:v>
      </x:c>
      <x:c r="D30" s="191" t="n">
        <x:f>('Scenarios'!$O$6+'Scenarios'!$G$12*D$25*$B30/(1+'Assumptions'!$C$20)^'Scenarios'!$G$28+'Assumptions'!$C$10-'Assumptions'!$C$11)/'Assumptions'!$C$7</x:f>
        <x:v>289.02181244178064</x:v>
      </x:c>
      <x:c r="E30" s="191" t="n">
        <x:f>('Scenarios'!$O$6+'Scenarios'!$G$12*E$25*$B30/(1+'Assumptions'!$C$20)^'Scenarios'!$G$28+'Assumptions'!$C$10-'Assumptions'!$C$11)/'Assumptions'!$C$7</x:f>
        <x:v>296.971889985502</x:v>
      </x:c>
      <x:c r="F30" s="191" t="n">
        <x:f>('Scenarios'!$O$6+'Scenarios'!$G$12*F$25*$B30/(1+'Assumptions'!$C$20)^'Scenarios'!$G$28+'Assumptions'!$C$10-'Assumptions'!$C$11)/'Assumptions'!$C$7</x:f>
        <x:v>304.9219675292233</x:v>
      </x:c>
      <x:c r="G30" s="191" t="n">
        <x:f>('Scenarios'!$O$6+'Scenarios'!$G$12*G$25*$B30/(1+'Assumptions'!$C$20)^'Scenarios'!$G$28+'Assumptions'!$C$10-'Assumptions'!$C$11)/'Assumptions'!$C$7</x:f>
        <x:v>312.8720450729447</x:v>
      </x:c>
      <x:c r="H30" s="4"/>
      <x:c r="I30" s="4"/>
      <x:c r="J30" s="4"/>
      <x:c r="K30" s="4"/>
      <x:c r="L30" s="4"/>
      <x:c r="M30" s="4"/>
      <x:c r="N30" s="4"/>
    </x:row>
    <x:row r="31" ht="23" customHeight="1">
      <x:c r="A31" s="4"/>
      <x:c r="B31" s="4"/>
      <x:c r="C31" s="4"/>
      <x:c r="D31" s="4"/>
      <x:c r="E31" s="4"/>
      <x:c r="F31" s="4"/>
      <x:c r="G31" s="4"/>
      <x:c r="H31" s="4"/>
      <x:c r="I31" s="4"/>
      <x:c r="J31" s="4"/>
      <x:c r="K31" s="4"/>
      <x:c r="L31" s="4"/>
      <x:c r="M31" s="4"/>
      <x:c r="N31" s="4"/>
    </x:row>
    <x:row r="32" ht="23" customHeight="1">
      <x:c r="A32" s="4"/>
      <x:c r="B32" s="4"/>
      <x:c r="C32" s="4"/>
      <x:c r="D32" s="4"/>
      <x:c r="E32" s="4"/>
      <x:c r="F32" s="4"/>
      <x:c r="G32" s="4"/>
      <x:c r="H32" s="4"/>
      <x:c r="I32" s="4"/>
      <x:c r="J32" s="4"/>
      <x:c r="K32" s="4"/>
      <x:c r="L32" s="4"/>
      <x:c r="M32" s="4"/>
      <x:c r="N32" s="4"/>
    </x:row>
    <x:row r="33" ht="23" customHeight="1">
      <x:c r="A33" s="4"/>
      <x:c r="B33" s="4"/>
      <x:c r="C33" s="4"/>
      <x:c r="D33" s="4"/>
      <x:c r="E33" s="4"/>
      <x:c r="F33" s="4"/>
      <x:c r="G33" s="4"/>
      <x:c r="H33" s="4"/>
      <x:c r="I33" s="4"/>
      <x:c r="J33" s="4"/>
      <x:c r="K33" s="4"/>
      <x:c r="L33" s="4"/>
      <x:c r="M33" s="4"/>
      <x:c r="N33" s="4"/>
    </x:row>
  </x:sheetData>
  <x:conditionalFormatting sqref="C6:G10">
    <x:cfRule type="colorScale" priority="1">
      <x:colorScale>
        <x:cfvo type="min"/>
        <x:cfvo type="percentile" val="50"/>
        <x:cfvo type="max"/>
        <x:color rgb="FFEBD7D2"/>
        <x:color rgb="FFFFFFFF"/>
        <x:color rgb="FFD5E6DF"/>
      </x:colorScale>
    </x:cfRule>
  </x:conditionalFormatting>
  <x:conditionalFormatting sqref="C16:G20">
    <x:cfRule type="colorScale" priority="2">
      <x:colorScale>
        <x:cfvo type="min"/>
        <x:cfvo type="percentile" val="50"/>
        <x:cfvo type="max"/>
        <x:color rgb="FFEBD7D2"/>
        <x:color rgb="FFFFFFFF"/>
        <x:color rgb="FFD5E6DF"/>
      </x:colorScale>
    </x:cfRule>
  </x:conditionalFormatting>
  <x:conditionalFormatting sqref="C26:G30">
    <x:cfRule type="colorScale" priority="3">
      <x:colorScale>
        <x:cfvo type="min"/>
        <x:cfvo type="percentile" val="50"/>
        <x:cfvo type="max"/>
        <x:color rgb="FFEBD7D2"/>
        <x:color rgb="FFFFFFFF"/>
        <x:color rgb="FFD5E6DF"/>
      </x:colorScale>
    </x:cfRule>
  </x:conditionalFormatting>
  <x:pageMargins left="0.7" right="0.7" top="0.75" bottom="0.75" header="0.3" footer="0.3"/>
</x:worksheet>
</file>

<file path=xl/worksheets/sheet4.xml><?xml version="1.0" encoding="utf-8"?>
<x:worksheet xmlns:x="http://schemas.openxmlformats.org/spreadsheetml/2006/main">
  <x:sheetPr>
    <x:tabColor rgb="FF205C95"/>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1" customHeight="1">
      <x:c r="A1" s="6"/>
      <x:c r="B1" s="22" t="str">
        <x:v>ADP, Assumptions</x:v>
      </x:c>
      <x:c r="C1" s="22"/>
      <x:c r="D1" s="22"/>
      <x:c r="E1" s="22"/>
      <x:c r="F1" s="22"/>
      <x:c r="G1" s="22"/>
      <x:c r="H1" s="22"/>
    </x:row>
    <x:row r="2" ht="34" customHeight="1">
      <x:c r="A2" s="7"/>
      <x:c r="B2" s="26" t="str">
        <x:v>Blue text marks reported inputs or estimates. Forecasts use the inputs on Scenarios.</x:v>
      </x:c>
      <x:c r="C2" s="26"/>
      <x:c r="D2" s="26"/>
      <x:c r="E2" s="26"/>
      <x:c r="F2" s="26"/>
      <x:c r="G2" s="26"/>
      <x:c r="H2" s="26"/>
    </x:row>
    <x:row r="3" ht="23" customHeight="1">
      <x:c r="A3" s="4"/>
      <x:c r="B3" s="4"/>
      <x:c r="C3" s="4"/>
      <x:c r="D3" s="4"/>
      <x:c r="E3" s="4"/>
      <x:c r="F3" s="4"/>
      <x:c r="G3" s="4"/>
      <x:c r="H3" s="4"/>
    </x:row>
    <x:row r="4" ht="23" customHeight="1">
      <x:c r="A4" s="4"/>
      <x:c r="B4" s="6" t="str">
        <x:v>Valuation and Starting Inputs</x:v>
      </x:c>
      <x:c r="C4" s="4"/>
      <x:c r="D4" s="4"/>
      <x:c r="E4" s="4"/>
      <x:c r="F4" s="4"/>
      <x:c r="G4" s="4"/>
      <x:c r="H4" s="4"/>
    </x:row>
    <x:row r="5" ht="35" customHeight="1">
      <x:c r="A5" s="4"/>
      <x:c r="B5" s="40" t="str">
        <x:v>Valuation date</x:v>
      </x:c>
      <x:c r="C5" s="65" t="n">
        <x:v>46239</x:v>
      </x:c>
      <x:c r="D5" s="124" t="str">
        <x:v>Model setting</x:v>
      </x:c>
      <x:c r="E5" s="125"/>
      <x:c r="F5" s="42"/>
      <x:c r="G5" s="42"/>
      <x:c r="H5" s="42"/>
    </x:row>
    <x:row r="6" ht="62" customHeight="1">
      <x:c r="A6" s="4"/>
      <x:c r="B6" s="6" t="str">
        <x:v>Current share price</x:v>
      </x:c>
      <x:c r="C6" s="91" t="n">
        <x:v>270.09</x:v>
      </x:c>
      <x:c r="D6" s="43" t="str">
        <x:v>A09; 5 Aug 2026 close</x:v>
      </x:c>
      <x:c r="E6" s="25"/>
      <x:c r="F6" s="7" t="str">
        <x:v>Current basic shares at 30 Jun 2026</x:v>
      </x:c>
      <x:c r="G6" s="94" t="n">
        <x:f>'Historical'!H48</x:f>
        <x:v>397.8</x:v>
      </x:c>
      <x:c r="H6" s="43" t="str">
        <x:v>A01 balance sheet</x:v>
      </x:c>
      <x:c r="I6" s="130"/>
      <x:c r="J6" s="130"/>
      <x:c r="K6" s="130"/>
      <x:c r="L6" s="130"/>
    </x:row>
    <x:row r="7" ht="62" customHeight="1">
      <x:c r="A7" s="4"/>
      <x:c r="B7" s="7" t="str">
        <x:v>Diluted-share estimate from latest disclosure</x:v>
      </x:c>
      <x:c r="C7" s="97" t="n">
        <x:f>G6+G7</x:f>
        <x:v>398.7</x:v>
      </x:c>
      <x:c r="D7" s="43" t="str">
        <x:v>Current basic shares + latest reported Q4 dilutive effect</x:v>
      </x:c>
      <x:c r="E7" s="25"/>
      <x:c r="F7" s="7" t="str">
        <x:v>Q4 dilutive award effect</x:v>
      </x:c>
      <x:c r="G7" s="99" t="n">
        <x:v>0.9</x:v>
      </x:c>
      <x:c r="H7" s="43" t="str">
        <x:v>A01 EPS table</x:v>
      </x:c>
      <x:c r="I7" s="130"/>
      <x:c r="J7" s="130"/>
      <x:c r="K7" s="130"/>
      <x:c r="L7" s="130"/>
    </x:row>
    <x:row r="8" ht="62" customHeight="1">
      <x:c r="A8" s="4"/>
      <x:c r="B8" s="6" t="str">
        <x:v>Cash &amp; equivalents</x:v>
      </x:c>
      <x:c r="C8" s="101" t="n">
        <x:f>'Historical'!H42</x:f>
        <x:v>4230.1</x:v>
      </x:c>
      <x:c r="D8" s="43" t="str">
        <x:v>Corporate cash; A01</x:v>
      </x:c>
      <x:c r="E8" s="25"/>
      <x:c r="F8" s="7" t="str">
        <x:v>Pledged cash</x:v>
      </x:c>
      <x:c r="G8" s="103" t="n">
        <x:v>0.7</x:v>
      </x:c>
      <x:c r="H8" s="43" t="str">
        <x:v>A01 balance sheet footnote A; 30 Jun 2026</x:v>
      </x:c>
      <x:c r="I8" s="130"/>
      <x:c r="J8" s="130"/>
      <x:c r="K8" s="130"/>
      <x:c r="L8" s="130"/>
    </x:row>
    <x:row r="9" ht="62" customHeight="1">
      <x:c r="A9" s="4"/>
      <x:c r="B9" s="6" t="str">
        <x:v>Operating cash reserve</x:v>
      </x:c>
      <x:c r="C9" s="105" t="n">
        <x:v>1500</x:v>
      </x:c>
      <x:c r="D9" s="43" t="str">
        <x:v>Analyst estimate</x:v>
      </x:c>
      <x:c r="E9" s="25"/>
      <x:c r="F9" s="7" t="str">
        <x:v>FY2026 contract-cost amortization</x:v>
      </x:c>
      <x:c r="G9" s="105" t="n">
        <x:v>1200.5</x:v>
      </x:c>
      <x:c r="H9" s="43" t="str">
        <x:v>A01: FY2026 release, 29 Jul 2026; USDm.</x:v>
      </x:c>
      <x:c r="I9" s="130"/>
      <x:c r="J9" s="130"/>
      <x:c r="K9" s="130"/>
      <x:c r="L9" s="130"/>
    </x:row>
    <x:row r="10" ht="62" customHeight="1">
      <x:c r="A10" s="4"/>
      <x:c r="B10" s="6" t="str">
        <x:v>Excess cash</x:v>
      </x:c>
      <x:c r="C10" s="97" t="n">
        <x:f>C8-C9-G8</x:f>
        <x:v>2729.4000000000005</x:v>
      </x:c>
      <x:c r="D10" s="43" t="str">
        <x:v>Cash less operating reserve and pledged cash</x:v>
      </x:c>
      <x:c r="E10" s="25"/>
      <x:c r="F10" s="7" t="str">
        <x:v>FY2026 cash contract-cost additions</x:v>
      </x:c>
      <x:c r="G10" s="105" t="n">
        <x:v>1307.9</x:v>
      </x:c>
      <x:c r="H10" s="43" t="str">
        <x:v>A01: FY2026 release, 29 Jul 2026; USDm.</x:v>
      </x:c>
      <x:c r="I10" s="130"/>
      <x:c r="J10" s="130"/>
      <x:c r="K10" s="130"/>
      <x:c r="L10" s="130"/>
    </x:row>
    <x:row r="11" ht="62" customHeight="1">
      <x:c r="A11" s="4"/>
      <x:c r="B11" s="6" t="str">
        <x:v>Corporate funded debt</x:v>
      </x:c>
      <x:c r="C11" s="101" t="n">
        <x:f>'Historical'!H46</x:f>
        <x:v>4964.1</x:v>
      </x:c>
      <x:c r="D11" s="43" t="str">
        <x:v>A01; excludes client obligations</x:v>
      </x:c>
      <x:c r="E11" s="25"/>
      <x:c r="F11" s="7" t="str">
        <x:v>Contract-cost asset at 30 Jun 2026</x:v>
      </x:c>
      <x:c r="G11" s="105" t="n">
        <x:v>3244.1</x:v>
      </x:c>
      <x:c r="H11" s="43" t="str">
        <x:v>A01: FY2026 release, 29 Jul 2026; USDm.</x:v>
      </x:c>
      <x:c r="I11" s="130"/>
      <x:c r="J11" s="130"/>
      <x:c r="K11" s="130"/>
      <x:c r="L11" s="130"/>
    </x:row>
    <x:row r="12" ht="62" customHeight="1">
      <x:c r="A12" s="4"/>
      <x:c r="B12" s="6" t="str">
        <x:v>Forecast cash tax rate</x:v>
      </x:c>
      <x:c r="C12" s="107" t="n">
        <x:v>0.23</x:v>
      </x:c>
      <x:c r="D12" s="43" t="str">
        <x:v>FY2027 tax guidance</x:v>
      </x:c>
      <x:c r="E12" s="25"/>
      <x:c r="F12" s="119" t="str">
        <x:v>Client-funds expense allowance</x:v>
      </x:c>
      <x:c r="G12" s="131" t="n">
        <x:v>0.03</x:v>
      </x:c>
      <x:c r="H12" s="25" t="str">
        <x:v>Analyst allowance for portfolio administration and liquidity costs; 3% of interest revenue. Fees and corporate cash interest remain separate.</x:v>
      </x:c>
      <x:c r="I12" s="130"/>
      <x:c r="J12" s="130"/>
      <x:c r="K12" s="130"/>
      <x:c r="L12" s="130"/>
    </x:row>
    <x:row r="13" ht="35" customHeight="1">
      <x:c r="A13" s="4"/>
      <x:c r="B13" s="6" t="str">
        <x:v>FY2026 core HCM revenue</x:v>
      </x:c>
      <x:c r="C13" s="101" t="n">
        <x:f>'Historical'!H6</x:f>
        <x:v>13476.8</x:v>
      </x:c>
      <x:c r="D13" s="43" t="str">
        <x:v>Derived from reported components</x:v>
      </x:c>
      <x:c r="E13" s="25"/>
      <x:c r="F13" s="4"/>
      <x:c r="G13" s="4"/>
      <x:c r="H13" s="4"/>
    </x:row>
    <x:row r="14" ht="35" customHeight="1">
      <x:c r="A14" s="4"/>
      <x:c r="B14" s="6" t="str">
        <x:v>FY2026 average client funds</x:v>
      </x:c>
      <x:c r="C14" s="101" t="n">
        <x:f>'Historical'!H56</x:f>
        <x:v>40400</x:v>
      </x:c>
      <x:c r="D14" s="43" t="str">
        <x:v>A01</x:v>
      </x:c>
      <x:c r="E14" s="25"/>
      <x:c r="F14" s="4"/>
      <x:c r="G14" s="4"/>
      <x:c r="H14" s="4"/>
    </x:row>
    <x:row r="15" ht="35" customHeight="1">
      <x:c r="A15" s="4"/>
      <x:c r="B15" s="7" t="str">
        <x:v>FY2026 PEO revenue ex pass-through</x:v>
      </x:c>
      <x:c r="C15" s="101" t="n">
        <x:f>'Historical'!H50</x:f>
        <x:v>2508.5</x:v>
      </x:c>
      <x:c r="D15" s="43" t="str">
        <x:v>Derived</x:v>
      </x:c>
      <x:c r="E15" s="25"/>
      <x:c r="F15" s="4"/>
      <x:c r="G15" s="4"/>
      <x:c r="H15" s="4"/>
    </x:row>
    <x:row r="16" ht="35" customHeight="1">
      <x:c r="A16" s="4"/>
      <x:c r="B16" s="6" t="str">
        <x:v>FY2026 PEO pass-through revenue</x:v>
      </x:c>
      <x:c r="C16" s="101" t="n">
        <x:f>'Historical'!H49</x:f>
        <x:v>4607.3</x:v>
      </x:c>
      <x:c r="D16" s="43" t="str">
        <x:v>A01/A02</x:v>
      </x:c>
      <x:c r="E16" s="25"/>
      <x:c r="F16" s="4"/>
      <x:c r="G16" s="4"/>
      <x:c r="H16" s="4"/>
    </x:row>
    <x:row r="17" ht="35" customHeight="1">
      <x:c r="A17" s="4"/>
      <x:c r="B17" s="6" t="str">
        <x:v>FY2026 total revenue</x:v>
      </x:c>
      <x:c r="C17" s="101" t="n">
        <x:f>'Historical'!H9</x:f>
        <x:v>21947.399999999998</x:v>
      </x:c>
      <x:c r="D17" s="43" t="str">
        <x:v>A01</x:v>
      </x:c>
      <x:c r="E17" s="25"/>
      <x:c r="F17" s="4"/>
      <x:c r="G17" s="4"/>
      <x:c r="H17" s="4"/>
    </x:row>
    <x:row r="18" ht="39" customHeight="1">
      <x:c r="A18" s="4"/>
      <x:c r="B18" s="6" t="str">
        <x:v>Ordinary NWC / core + net PEO</x:v>
      </x:c>
      <x:c r="C18" s="109" t="n">
        <x:v>-0.025</x:v>
      </x:c>
      <x:c r="D18" s="43" t="str">
        <x:v>Ordinary operating balances; excludes client funds and deferred contract asset</x:v>
      </x:c>
      <x:c r="E18" s="25"/>
      <x:c r="F18" s="4"/>
      <x:c r="G18" s="4"/>
      <x:c r="H18" s="4"/>
    </x:row>
    <x:row r="19" ht="35" customHeight="1">
      <x:c r="A19" s="4"/>
      <x:c r="B19" s="6" t="str">
        <x:v>FY2026 operating NWC estimate</x:v>
      </x:c>
      <x:c r="C19" s="97" t="n">
        <x:f>(C13+C15)*C18+G11</x:f>
        <x:v>2844.4674999999997</x:v>
      </x:c>
      <x:c r="D19" s="43" t="str">
        <x:v>Ordinary NWC proxy + disclosed deferred contract-cost asset</x:v>
      </x:c>
      <x:c r="E19" s="25"/>
      <x:c r="F19" s="4"/>
      <x:c r="G19" s="4"/>
      <x:c r="H19" s="4"/>
    </x:row>
    <x:row r="20" ht="35" customHeight="1">
      <x:c r="A20" s="4"/>
      <x:c r="B20" s="6" t="str">
        <x:v>Base WACC</x:v>
      </x:c>
      <x:c r="C20" s="111" t="n">
        <x:f>'WACC'!$C$20</x:f>
        <x:v>0.0799555263113942</x:v>
      </x:c>
      <x:c r="D20" s="43" t="str">
        <x:v>Linked from WACC</x:v>
      </x:c>
      <x:c r="E20" s="25"/>
      <x:c r="F20" s="4"/>
      <x:c r="G20" s="4"/>
      <x:c r="H20" s="4"/>
    </x:row>
    <x:row r="21" ht="35" customHeight="1">
      <x:c r="A21" s="4"/>
      <x:c r="B21" s="6" t="str">
        <x:v>Base terminal growth</x:v>
      </x:c>
      <x:c r="C21" s="113" t="n">
        <x:v>0.0275</x:v>
      </x:c>
      <x:c r="D21" s="43" t="str">
        <x:v>Mature nominal growth</x:v>
      </x:c>
      <x:c r="E21" s="25"/>
      <x:c r="F21" s="4"/>
      <x:c r="G21" s="4"/>
      <x:c r="H21" s="4"/>
    </x:row>
    <x:row r="22" ht="35" customHeight="1">
      <x:c r="A22" s="4"/>
      <x:c r="B22" s="6" t="str">
        <x:v>Base implied EV / EBITDA</x:v>
      </x:c>
      <x:c r="C22" s="203" t="n">
        <x:f>'Scenarios'!O10/'Scenarios'!G25</x:f>
        <x:v>12.397658328973776</x:v>
      </x:c>
      <x:c r="D22" s="43" t="str">
        <x:v>Derived from terminal cash flow</x:v>
      </x:c>
      <x:c r="E22" s="25"/>
      <x:c r="F22" s="4"/>
      <x:c r="G22" s="4"/>
      <x:c r="H22" s="4"/>
    </x:row>
    <x:row r="23" ht="35" customHeight="1">
      <x:c r="A23" s="4"/>
      <x:c r="B23" s="6" t="str">
        <x:v>Downside WACC</x:v>
      </x:c>
      <x:c r="C23" s="117" t="n">
        <x:f>C20+0.005</x:f>
        <x:v>0.0849555263113942</x:v>
      </x:c>
      <x:c r="D23" s="43" t="str">
        <x:v>Base + 50 bps</x:v>
      </x:c>
      <x:c r="E23" s="25"/>
      <x:c r="F23" s="4"/>
      <x:c r="G23" s="4"/>
      <x:c r="H23" s="4"/>
    </x:row>
    <x:row r="24" ht="35" customHeight="1">
      <x:c r="A24" s="4"/>
      <x:c r="B24" s="6" t="str">
        <x:v>Downside terminal growth</x:v>
      </x:c>
      <x:c r="C24" s="113" t="n">
        <x:v>0.0225</x:v>
      </x:c>
      <x:c r="D24" s="43" t="str">
        <x:v>Conservative</x:v>
      </x:c>
      <x:c r="E24" s="25"/>
      <x:c r="F24" s="4"/>
      <x:c r="G24" s="4"/>
      <x:c r="H24" s="4"/>
    </x:row>
    <x:row r="25" ht="35" customHeight="1">
      <x:c r="A25" s="4"/>
      <x:c r="B25" s="6" t="str">
        <x:v>Upside WACC</x:v>
      </x:c>
      <x:c r="C25" s="117" t="n">
        <x:f>C20-0.004</x:f>
        <x:v>0.0759555263113942</x:v>
      </x:c>
      <x:c r="D25" s="43" t="str">
        <x:v>Base − 40 bps</x:v>
      </x:c>
      <x:c r="E25" s="25"/>
      <x:c r="F25" s="4"/>
      <x:c r="G25" s="4"/>
      <x:c r="H25" s="4"/>
    </x:row>
    <x:row r="26" ht="35" customHeight="1">
      <x:c r="A26" s="4"/>
      <x:c r="B26" s="6" t="str">
        <x:v>Upside terminal growth</x:v>
      </x:c>
      <x:c r="C26" s="113" t="n">
        <x:v>0.03</x:v>
      </x:c>
      <x:c r="D26" s="43" t="str">
        <x:v>Upper mature range</x:v>
      </x:c>
      <x:c r="E26" s="25"/>
      <x:c r="F26" s="4"/>
      <x:c r="G26" s="4"/>
      <x:c r="H26" s="4"/>
    </x:row>
    <x:row r="27" ht="35" customHeight="1">
      <x:c r="A27" s="4"/>
      <x:c r="B27" s="6" t="str">
        <x:v>Downside implied multiple</x:v>
      </x:c>
      <x:c r="C27" s="203" t="n">
        <x:f>'Scenarios'!O38/'Scenarios'!G53</x:f>
        <x:v>10.215108639580073</x:v>
      </x:c>
      <x:c r="D27" s="43" t="str">
        <x:v>Derived from terminal cash flow</x:v>
      </x:c>
      <x:c r="E27" s="25"/>
      <x:c r="F27" s="4"/>
      <x:c r="G27" s="4"/>
      <x:c r="H27" s="4"/>
    </x:row>
    <x:row r="28" ht="35" customHeight="1">
      <x:c r="A28" s="4"/>
      <x:c r="B28" s="6" t="str">
        <x:v>Upside implied multiple</x:v>
      </x:c>
      <x:c r="C28" s="203" t="n">
        <x:f>'Scenarios'!O66/'Scenarios'!G81</x:f>
        <x:v>14.407363362902768</x:v>
      </x:c>
      <x:c r="D28" s="43" t="str">
        <x:v>Derived from terminal cash flow</x:v>
      </x:c>
      <x:c r="E28" s="25"/>
      <x:c r="F28" s="4"/>
      <x:c r="G28" s="4"/>
      <x:c r="H28" s="4"/>
    </x:row>
    <x:row r="29" ht="23" customHeight="1">
      <x:c r="A29" s="4"/>
      <x:c r="B29" s="4"/>
      <x:c r="C29" s="4"/>
      <x:c r="D29" s="4"/>
      <x:c r="E29" s="4"/>
      <x:c r="F29" s="4"/>
      <x:c r="G29" s="4"/>
      <x:c r="H29" s="4"/>
    </x:row>
    <x:row r="30" ht="23" customHeight="1">
      <x:c r="A30" s="4"/>
      <x:c r="B30" s="4"/>
      <x:c r="C30" s="4"/>
      <x:c r="D30" s="4"/>
      <x:c r="E30" s="4"/>
      <x:c r="F30" s="4"/>
      <x:c r="G30" s="4"/>
      <x:c r="H30" s="4"/>
    </x:row>
    <x:row r="31" ht="23" customHeight="1">
      <x:c r="A31" s="4"/>
      <x:c r="B31" s="4"/>
      <x:c r="C31" s="4"/>
      <x:c r="D31" s="4"/>
      <x:c r="E31" s="4"/>
      <x:c r="F31" s="4"/>
      <x:c r="G31" s="4"/>
      <x:c r="H31" s="4"/>
    </x:row>
    <x:row r="32" ht="25" customHeight="1">
      <x:c r="A32" s="4"/>
      <x:c r="B32" s="57" t="str">
        <x:v>Base Case</x:v>
      </x:c>
      <x:c r="C32" s="58"/>
      <x:c r="D32" s="58"/>
      <x:c r="E32" s="58"/>
      <x:c r="F32" s="58"/>
      <x:c r="G32" s="58"/>
      <x:c r="H32" s="58"/>
    </x:row>
    <x:row r="33" ht="34" customHeight="1">
      <x:c r="A33" s="4"/>
      <x:c r="B33" s="40" t="str">
        <x:v>Assumption</x:v>
      </x:c>
      <x:c r="C33" s="40" t="str">
        <x:v>FY2027E</x:v>
      </x:c>
      <x:c r="D33" s="40" t="str">
        <x:v>FY2028E</x:v>
      </x:c>
      <x:c r="E33" s="40" t="str">
        <x:v>FY2029E</x:v>
      </x:c>
      <x:c r="F33" s="40" t="str">
        <x:v>FY2030E</x:v>
      </x:c>
      <x:c r="G33" s="40" t="str">
        <x:v>FY2031E</x:v>
      </x:c>
      <x:c r="H33" s="42"/>
    </x:row>
    <x:row r="34" ht="23" customHeight="1">
      <x:c r="A34" s="4"/>
      <x:c r="B34" s="6" t="str">
        <x:v>Core HCM revenue growth</x:v>
      </x:c>
      <x:c r="C34" s="109" t="n">
        <x:v>0.05</x:v>
      </x:c>
      <x:c r="D34" s="109" t="n">
        <x:v>0.055</x:v>
      </x:c>
      <x:c r="E34" s="109" t="n">
        <x:v>0.053</x:v>
      </x:c>
      <x:c r="F34" s="109" t="n">
        <x:v>0.05</x:v>
      </x:c>
      <x:c r="G34" s="109" t="n">
        <x:v>0.047</x:v>
      </x:c>
      <x:c r="H34" s="4"/>
    </x:row>
    <x:row r="35" ht="28" customHeight="1">
      <x:c r="A35" s="4"/>
      <x:c r="B35" s="7" t="str">
        <x:v>Average client-funds balance growth</x:v>
      </x:c>
      <x:c r="C35" s="109" t="n">
        <x:v>0.035</x:v>
      </x:c>
      <x:c r="D35" s="109" t="n">
        <x:v>0.04</x:v>
      </x:c>
      <x:c r="E35" s="109" t="n">
        <x:v>0.04</x:v>
      </x:c>
      <x:c r="F35" s="109" t="n">
        <x:v>0.04</x:v>
      </x:c>
      <x:c r="G35" s="109" t="n">
        <x:v>0.04</x:v>
      </x:c>
      <x:c r="H35" s="4"/>
    </x:row>
    <x:row r="36" ht="23" customHeight="1">
      <x:c r="A36" s="4"/>
      <x:c r="B36" s="6" t="str">
        <x:v>Client-funds yield</x:v>
      </x:c>
      <x:c r="C36" s="109" t="n">
        <x:v>0.037</x:v>
      </x:c>
      <x:c r="D36" s="109" t="n">
        <x:v>0.038</x:v>
      </x:c>
      <x:c r="E36" s="109" t="n">
        <x:v>0.037</x:v>
      </x:c>
      <x:c r="F36" s="109" t="n">
        <x:v>0.036</x:v>
      </x:c>
      <x:c r="G36" s="109" t="n">
        <x:v>0.035</x:v>
      </x:c>
      <x:c r="H36" s="4"/>
    </x:row>
    <x:row r="37" ht="23" customHeight="1">
      <x:c r="A37" s="4"/>
      <x:c r="B37" s="6" t="str">
        <x:v>PEO ex pass-through growth</x:v>
      </x:c>
      <x:c r="C37" s="109" t="n">
        <x:v>0.04</x:v>
      </x:c>
      <x:c r="D37" s="109" t="n">
        <x:v>0.045</x:v>
      </x:c>
      <x:c r="E37" s="109" t="n">
        <x:v>0.045</x:v>
      </x:c>
      <x:c r="F37" s="109" t="n">
        <x:v>0.042</x:v>
      </x:c>
      <x:c r="G37" s="109" t="n">
        <x:v>0.04</x:v>
      </x:c>
      <x:c r="H37" s="4"/>
    </x:row>
    <x:row r="38" ht="23" customHeight="1">
      <x:c r="A38" s="4"/>
      <x:c r="B38" s="6" t="str">
        <x:v>PEO pass-through growth</x:v>
      </x:c>
      <x:c r="C38" s="109" t="n">
        <x:v>0.075</x:v>
      </x:c>
      <x:c r="D38" s="109" t="n">
        <x:v>0.06</x:v>
      </x:c>
      <x:c r="E38" s="109" t="n">
        <x:v>0.055</x:v>
      </x:c>
      <x:c r="F38" s="109" t="n">
        <x:v>0.05</x:v>
      </x:c>
      <x:c r="G38" s="109" t="n">
        <x:v>0.05</x:v>
      </x:c>
      <x:c r="H38" s="4"/>
    </x:row>
    <x:row r="39" ht="28" customHeight="1">
      <x:c r="A39" s="4"/>
      <x:c r="B39" s="7" t="str">
        <x:v>Original gross EBIT margin (converted to exclude reimbursements)</x:v>
      </x:c>
      <x:c r="C39" s="109" t="n">
        <x:v>0.2713</x:v>
      </x:c>
      <x:c r="D39" s="109" t="n">
        <x:v>0.278</x:v>
      </x:c>
      <x:c r="E39" s="109" t="n">
        <x:v>0.283</x:v>
      </x:c>
      <x:c r="F39" s="109" t="n">
        <x:v>0.287</x:v>
      </x:c>
      <x:c r="G39" s="109" t="n">
        <x:v>0.29</x:v>
      </x:c>
      <x:c r="H39" s="4"/>
    </x:row>
    <x:row r="40" ht="23" customHeight="1">
      <x:c r="A40" s="4"/>
      <x:c r="B40" s="6" t="str">
        <x:v>D&amp;A / revenue</x:v>
      </x:c>
      <x:c r="C40" s="109" t="n">
        <x:v>0.026</x:v>
      </x:c>
      <x:c r="D40" s="109" t="n">
        <x:v>0.0255</x:v>
      </x:c>
      <x:c r="E40" s="109" t="n">
        <x:v>0.025</x:v>
      </x:c>
      <x:c r="F40" s="109" t="n">
        <x:v>0.0245</x:v>
      </x:c>
      <x:c r="G40" s="109" t="n">
        <x:v>0.024</x:v>
      </x:c>
      <x:c r="H40" s="4"/>
    </x:row>
    <x:row r="41" ht="23" customHeight="1">
      <x:c r="A41" s="4"/>
      <x:c r="B41" s="6" t="str">
        <x:v>Capex / revenue</x:v>
      </x:c>
      <x:c r="C41" s="109" t="n">
        <x:v>0.03</x:v>
      </x:c>
      <x:c r="D41" s="109" t="n">
        <x:v>0.029</x:v>
      </x:c>
      <x:c r="E41" s="109" t="n">
        <x:v>0.028</x:v>
      </x:c>
      <x:c r="F41" s="109" t="n">
        <x:v>0.028</x:v>
      </x:c>
      <x:c r="G41" s="109" t="n">
        <x:v>0.027</x:v>
      </x:c>
      <x:c r="H41" s="4"/>
    </x:row>
    <x:row r="42" ht="23" customHeight="1">
      <x:c r="A42" s="4"/>
      <x:c r="B42" s="6" t="str">
        <x:v>Operating NWC ratio</x:v>
      </x:c>
      <x:c r="C42" s="109" t="n">
        <x:v>-0.025</x:v>
      </x:c>
      <x:c r="D42" s="109" t="n">
        <x:v>-0.025</x:v>
      </x:c>
      <x:c r="E42" s="109" t="n">
        <x:v>-0.025</x:v>
      </x:c>
      <x:c r="F42" s="109" t="n">
        <x:v>-0.025</x:v>
      </x:c>
      <x:c r="G42" s="109" t="n">
        <x:v>-0.025</x:v>
      </x:c>
      <x:c r="H42" s="4"/>
    </x:row>
    <x:row r="43" ht="23" customHeight="1">
      <x:c r="A43" s="4"/>
      <x:c r="B43" s="4"/>
      <x:c r="C43" s="4"/>
      <x:c r="D43" s="4"/>
      <x:c r="E43" s="4"/>
      <x:c r="F43" s="4"/>
      <x:c r="G43" s="4"/>
      <x:c r="H43" s="4"/>
    </x:row>
    <x:row r="44" ht="23" customHeight="1">
      <x:c r="A44" s="4"/>
      <x:c r="B44" s="4"/>
      <x:c r="C44" s="4"/>
      <x:c r="D44" s="4"/>
      <x:c r="E44" s="4"/>
      <x:c r="F44" s="4"/>
      <x:c r="G44" s="4"/>
      <x:c r="H44" s="4"/>
    </x:row>
    <x:row r="45" ht="23" customHeight="1">
      <x:c r="A45" s="4"/>
      <x:c r="B45" s="4"/>
      <x:c r="C45" s="4"/>
      <x:c r="D45" s="4"/>
      <x:c r="E45" s="4"/>
      <x:c r="F45" s="4"/>
      <x:c r="G45" s="4"/>
      <x:c r="H45" s="4"/>
    </x:row>
    <x:row r="46" ht="25" customHeight="1">
      <x:c r="A46" s="4"/>
      <x:c r="B46" s="57" t="str">
        <x:v>Downside Case</x:v>
      </x:c>
      <x:c r="C46" s="58"/>
      <x:c r="D46" s="58"/>
      <x:c r="E46" s="58"/>
      <x:c r="F46" s="58"/>
      <x:c r="G46" s="58"/>
      <x:c r="H46" s="58"/>
    </x:row>
    <x:row r="47" ht="34" customHeight="1">
      <x:c r="A47" s="4"/>
      <x:c r="B47" s="40" t="str">
        <x:v>Assumption</x:v>
      </x:c>
      <x:c r="C47" s="40" t="str">
        <x:v>FY2027E</x:v>
      </x:c>
      <x:c r="D47" s="40" t="str">
        <x:v>FY2028E</x:v>
      </x:c>
      <x:c r="E47" s="40" t="str">
        <x:v>FY2029E</x:v>
      </x:c>
      <x:c r="F47" s="40" t="str">
        <x:v>FY2030E</x:v>
      </x:c>
      <x:c r="G47" s="40" t="str">
        <x:v>FY2031E</x:v>
      </x:c>
      <x:c r="H47" s="42"/>
    </x:row>
    <x:row r="48" ht="23" customHeight="1">
      <x:c r="A48" s="4"/>
      <x:c r="B48" s="6" t="str">
        <x:v>Core HCM revenue growth</x:v>
      </x:c>
      <x:c r="C48" s="109" t="n">
        <x:v>0.04</x:v>
      </x:c>
      <x:c r="D48" s="109" t="n">
        <x:v>0.03</x:v>
      </x:c>
      <x:c r="E48" s="109" t="n">
        <x:v>0.035</x:v>
      </x:c>
      <x:c r="F48" s="109" t="n">
        <x:v>0.04</x:v>
      </x:c>
      <x:c r="G48" s="109" t="n">
        <x:v>0.04</x:v>
      </x:c>
      <x:c r="H48" s="4"/>
    </x:row>
    <x:row r="49" ht="28" customHeight="1">
      <x:c r="A49" s="4"/>
      <x:c r="B49" s="7" t="str">
        <x:v>Average client-funds balance growth</x:v>
      </x:c>
      <x:c r="C49" s="109" t="n">
        <x:v>0.02</x:v>
      </x:c>
      <x:c r="D49" s="109" t="n">
        <x:v>0.02</x:v>
      </x:c>
      <x:c r="E49" s="109" t="n">
        <x:v>0.03</x:v>
      </x:c>
      <x:c r="F49" s="109" t="n">
        <x:v>0.03</x:v>
      </x:c>
      <x:c r="G49" s="109" t="n">
        <x:v>0.03</x:v>
      </x:c>
      <x:c r="H49" s="4"/>
    </x:row>
    <x:row r="50" ht="23" customHeight="1">
      <x:c r="A50" s="4"/>
      <x:c r="B50" s="6" t="str">
        <x:v>Client-funds yield</x:v>
      </x:c>
      <x:c r="C50" s="109" t="n">
        <x:v>0.034</x:v>
      </x:c>
      <x:c r="D50" s="109" t="n">
        <x:v>0.03</x:v>
      </x:c>
      <x:c r="E50" s="109" t="n">
        <x:v>0.028</x:v>
      </x:c>
      <x:c r="F50" s="109" t="n">
        <x:v>0.028</x:v>
      </x:c>
      <x:c r="G50" s="109" t="n">
        <x:v>0.028</x:v>
      </x:c>
      <x:c r="H50" s="4"/>
    </x:row>
    <x:row r="51" ht="23" customHeight="1">
      <x:c r="A51" s="4"/>
      <x:c r="B51" s="6" t="str">
        <x:v>PEO ex pass-through growth</x:v>
      </x:c>
      <x:c r="C51" s="109" t="n">
        <x:v>0.02</x:v>
      </x:c>
      <x:c r="D51" s="109" t="n">
        <x:v>0.015</x:v>
      </x:c>
      <x:c r="E51" s="109" t="n">
        <x:v>0.025</x:v>
      </x:c>
      <x:c r="F51" s="109" t="n">
        <x:v>0.03</x:v>
      </x:c>
      <x:c r="G51" s="109" t="n">
        <x:v>0.03</x:v>
      </x:c>
      <x:c r="H51" s="4"/>
    </x:row>
    <x:row r="52" ht="23" customHeight="1">
      <x:c r="A52" s="4"/>
      <x:c r="B52" s="6" t="str">
        <x:v>PEO pass-through growth</x:v>
      </x:c>
      <x:c r="C52" s="109" t="n">
        <x:v>0.05</x:v>
      </x:c>
      <x:c r="D52" s="109" t="n">
        <x:v>0.03</x:v>
      </x:c>
      <x:c r="E52" s="109" t="n">
        <x:v>0.04</x:v>
      </x:c>
      <x:c r="F52" s="109" t="n">
        <x:v>0.04</x:v>
      </x:c>
      <x:c r="G52" s="109" t="n">
        <x:v>0.04</x:v>
      </x:c>
      <x:c r="H52" s="4"/>
    </x:row>
    <x:row r="53" ht="28" customHeight="1">
      <x:c r="A53" s="4"/>
      <x:c r="B53" s="7" t="str">
        <x:v>Original gross EBIT margin (converted to exclude reimbursements)</x:v>
      </x:c>
      <x:c r="C53" s="109" t="n">
        <x:v>0.265</x:v>
      </x:c>
      <x:c r="D53" s="109" t="n">
        <x:v>0.263</x:v>
      </x:c>
      <x:c r="E53" s="109" t="n">
        <x:v>0.266</x:v>
      </x:c>
      <x:c r="F53" s="109" t="n">
        <x:v>0.27</x:v>
      </x:c>
      <x:c r="G53" s="109" t="n">
        <x:v>0.273</x:v>
      </x:c>
      <x:c r="H53" s="4"/>
    </x:row>
    <x:row r="54" ht="23" customHeight="1">
      <x:c r="A54" s="4"/>
      <x:c r="B54" s="6" t="str">
        <x:v>D&amp;A / revenue</x:v>
      </x:c>
      <x:c r="C54" s="109" t="n">
        <x:v>0.027</x:v>
      </x:c>
      <x:c r="D54" s="109" t="n">
        <x:v>0.027</x:v>
      </x:c>
      <x:c r="E54" s="109" t="n">
        <x:v>0.0265</x:v>
      </x:c>
      <x:c r="F54" s="109" t="n">
        <x:v>0.026</x:v>
      </x:c>
      <x:c r="G54" s="109" t="n">
        <x:v>0.026</x:v>
      </x:c>
      <x:c r="H54" s="4"/>
    </x:row>
    <x:row r="55" ht="23" customHeight="1">
      <x:c r="A55" s="4"/>
      <x:c r="B55" s="6" t="str">
        <x:v>Capex / revenue</x:v>
      </x:c>
      <x:c r="C55" s="109" t="n">
        <x:v>0.032</x:v>
      </x:c>
      <x:c r="D55" s="109" t="n">
        <x:v>0.032</x:v>
      </x:c>
      <x:c r="E55" s="109" t="n">
        <x:v>0.031</x:v>
      </x:c>
      <x:c r="F55" s="109" t="n">
        <x:v>0.03</x:v>
      </x:c>
      <x:c r="G55" s="109" t="n">
        <x:v>0.03</x:v>
      </x:c>
      <x:c r="H55" s="4"/>
    </x:row>
    <x:row r="56" ht="23" customHeight="1">
      <x:c r="A56" s="4"/>
      <x:c r="B56" s="6" t="str">
        <x:v>Operating NWC ratio</x:v>
      </x:c>
      <x:c r="C56" s="109" t="n">
        <x:v>-0.02</x:v>
      </x:c>
      <x:c r="D56" s="109" t="n">
        <x:v>-0.02</x:v>
      </x:c>
      <x:c r="E56" s="109" t="n">
        <x:v>-0.02</x:v>
      </x:c>
      <x:c r="F56" s="109" t="n">
        <x:v>-0.02</x:v>
      </x:c>
      <x:c r="G56" s="109" t="n">
        <x:v>-0.02</x:v>
      </x:c>
      <x:c r="H56" s="4"/>
    </x:row>
    <x:row r="57" ht="23" customHeight="1">
      <x:c r="A57" s="4"/>
      <x:c r="B57" s="4"/>
      <x:c r="C57" s="4"/>
      <x:c r="D57" s="4"/>
      <x:c r="E57" s="4"/>
      <x:c r="F57" s="4"/>
      <x:c r="G57" s="4"/>
      <x:c r="H57" s="4"/>
    </x:row>
    <x:row r="58" ht="23" customHeight="1">
      <x:c r="A58" s="4"/>
      <x:c r="B58" s="4"/>
      <x:c r="C58" s="4"/>
      <x:c r="D58" s="4"/>
      <x:c r="E58" s="4"/>
      <x:c r="F58" s="4"/>
      <x:c r="G58" s="4"/>
      <x:c r="H58" s="4"/>
    </x:row>
    <x:row r="59" ht="23" customHeight="1">
      <x:c r="A59" s="4"/>
      <x:c r="B59" s="4"/>
      <x:c r="C59" s="4"/>
      <x:c r="D59" s="4"/>
      <x:c r="E59" s="4"/>
      <x:c r="F59" s="4"/>
      <x:c r="G59" s="4"/>
      <x:c r="H59" s="4"/>
    </x:row>
    <x:row r="60" ht="25" customHeight="1">
      <x:c r="A60" s="4"/>
      <x:c r="B60" s="57" t="str">
        <x:v>Upside Case</x:v>
      </x:c>
      <x:c r="C60" s="58"/>
      <x:c r="D60" s="58"/>
      <x:c r="E60" s="58"/>
      <x:c r="F60" s="58"/>
      <x:c r="G60" s="58"/>
      <x:c r="H60" s="58"/>
    </x:row>
    <x:row r="61" ht="34" customHeight="1">
      <x:c r="A61" s="4"/>
      <x:c r="B61" s="40" t="str">
        <x:v>Assumption</x:v>
      </x:c>
      <x:c r="C61" s="40" t="str">
        <x:v>FY2027E</x:v>
      </x:c>
      <x:c r="D61" s="40" t="str">
        <x:v>FY2028E</x:v>
      </x:c>
      <x:c r="E61" s="40" t="str">
        <x:v>FY2029E</x:v>
      </x:c>
      <x:c r="F61" s="40" t="str">
        <x:v>FY2030E</x:v>
      </x:c>
      <x:c r="G61" s="40" t="str">
        <x:v>FY2031E</x:v>
      </x:c>
      <x:c r="H61" s="42"/>
    </x:row>
    <x:row r="62" ht="23" customHeight="1">
      <x:c r="A62" s="4"/>
      <x:c r="B62" s="6" t="str">
        <x:v>Core HCM revenue growth</x:v>
      </x:c>
      <x:c r="C62" s="109" t="n">
        <x:v>0.06</x:v>
      </x:c>
      <x:c r="D62" s="109" t="n">
        <x:v>0.065</x:v>
      </x:c>
      <x:c r="E62" s="109" t="n">
        <x:v>0.06</x:v>
      </x:c>
      <x:c r="F62" s="109" t="n">
        <x:v>0.058</x:v>
      </x:c>
      <x:c r="G62" s="109" t="n">
        <x:v>0.055</x:v>
      </x:c>
      <x:c r="H62" s="4"/>
    </x:row>
    <x:row r="63" ht="28" customHeight="1">
      <x:c r="A63" s="4"/>
      <x:c r="B63" s="7" t="str">
        <x:v>Average client-funds balance growth</x:v>
      </x:c>
      <x:c r="C63" s="109" t="n">
        <x:v>0.05</x:v>
      </x:c>
      <x:c r="D63" s="109" t="n">
        <x:v>0.05</x:v>
      </x:c>
      <x:c r="E63" s="109" t="n">
        <x:v>0.05</x:v>
      </x:c>
      <x:c r="F63" s="109" t="n">
        <x:v>0.045</x:v>
      </x:c>
      <x:c r="G63" s="109" t="n">
        <x:v>0.045</x:v>
      </x:c>
      <x:c r="H63" s="4"/>
    </x:row>
    <x:row r="64" ht="23" customHeight="1">
      <x:c r="A64" s="4"/>
      <x:c r="B64" s="6" t="str">
        <x:v>Client-funds yield</x:v>
      </x:c>
      <x:c r="C64" s="109" t="n">
        <x:v>0.039</x:v>
      </x:c>
      <x:c r="D64" s="109" t="n">
        <x:v>0.04</x:v>
      </x:c>
      <x:c r="E64" s="109" t="n">
        <x:v>0.039</x:v>
      </x:c>
      <x:c r="F64" s="109" t="n">
        <x:v>0.038</x:v>
      </x:c>
      <x:c r="G64" s="109" t="n">
        <x:v>0.037</x:v>
      </x:c>
      <x:c r="H64" s="4"/>
    </x:row>
    <x:row r="65" ht="23" customHeight="1">
      <x:c r="A65" s="4"/>
      <x:c r="B65" s="6" t="str">
        <x:v>PEO ex pass-through growth</x:v>
      </x:c>
      <x:c r="C65" s="109" t="n">
        <x:v>0.05</x:v>
      </x:c>
      <x:c r="D65" s="109" t="n">
        <x:v>0.06</x:v>
      </x:c>
      <x:c r="E65" s="109" t="n">
        <x:v>0.055</x:v>
      </x:c>
      <x:c r="F65" s="109" t="n">
        <x:v>0.05</x:v>
      </x:c>
      <x:c r="G65" s="109" t="n">
        <x:v>0.048</x:v>
      </x:c>
      <x:c r="H65" s="4"/>
    </x:row>
    <x:row r="66" ht="23" customHeight="1">
      <x:c r="A66" s="4"/>
      <x:c r="B66" s="6" t="str">
        <x:v>PEO pass-through growth</x:v>
      </x:c>
      <x:c r="C66" s="109" t="n">
        <x:v>0.08</x:v>
      </x:c>
      <x:c r="D66" s="109" t="n">
        <x:v>0.07</x:v>
      </x:c>
      <x:c r="E66" s="109" t="n">
        <x:v>0.065</x:v>
      </x:c>
      <x:c r="F66" s="109" t="n">
        <x:v>0.06</x:v>
      </x:c>
      <x:c r="G66" s="109" t="n">
        <x:v>0.055</x:v>
      </x:c>
      <x:c r="H66" s="4"/>
    </x:row>
    <x:row r="67" ht="28" customHeight="1">
      <x:c r="A67" s="4"/>
      <x:c r="B67" s="7" t="str">
        <x:v>Original gross EBIT margin (converted to exclude reimbursements)</x:v>
      </x:c>
      <x:c r="C67" s="109" t="n">
        <x:v>0.275</x:v>
      </x:c>
      <x:c r="D67" s="109" t="n">
        <x:v>0.283</x:v>
      </x:c>
      <x:c r="E67" s="109" t="n">
        <x:v>0.29</x:v>
      </x:c>
      <x:c r="F67" s="109" t="n">
        <x:v>0.296</x:v>
      </x:c>
      <x:c r="G67" s="109" t="n">
        <x:v>0.301</x:v>
      </x:c>
      <x:c r="H67" s="4"/>
    </x:row>
    <x:row r="68" ht="23" customHeight="1">
      <x:c r="A68" s="4"/>
      <x:c r="B68" s="6" t="str">
        <x:v>D&amp;A / revenue</x:v>
      </x:c>
      <x:c r="C68" s="109" t="n">
        <x:v>0.0255</x:v>
      </x:c>
      <x:c r="D68" s="109" t="n">
        <x:v>0.025</x:v>
      </x:c>
      <x:c r="E68" s="109" t="n">
        <x:v>0.0245</x:v>
      </x:c>
      <x:c r="F68" s="109" t="n">
        <x:v>0.024</x:v>
      </x:c>
      <x:c r="G68" s="109" t="n">
        <x:v>0.0235</x:v>
      </x:c>
      <x:c r="H68" s="4"/>
    </x:row>
    <x:row r="69" ht="23" customHeight="1">
      <x:c r="A69" s="4"/>
      <x:c r="B69" s="6" t="str">
        <x:v>Capex / revenue</x:v>
      </x:c>
      <x:c r="C69" s="109" t="n">
        <x:v>0.029</x:v>
      </x:c>
      <x:c r="D69" s="109" t="n">
        <x:v>0.028</x:v>
      </x:c>
      <x:c r="E69" s="109" t="n">
        <x:v>0.027</x:v>
      </x:c>
      <x:c r="F69" s="109" t="n">
        <x:v>0.026</x:v>
      </x:c>
      <x:c r="G69" s="109" t="n">
        <x:v>0.025</x:v>
      </x:c>
      <x:c r="H69" s="4"/>
    </x:row>
    <x:row r="70" ht="23" customHeight="1">
      <x:c r="A70" s="4"/>
      <x:c r="B70" s="6" t="str">
        <x:v>Operating NWC ratio</x:v>
      </x:c>
      <x:c r="C70" s="109" t="n">
        <x:v>-0.028</x:v>
      </x:c>
      <x:c r="D70" s="109" t="n">
        <x:v>-0.028</x:v>
      </x:c>
      <x:c r="E70" s="109" t="n">
        <x:v>-0.028</x:v>
      </x:c>
      <x:c r="F70" s="109" t="n">
        <x:v>-0.028</x:v>
      </x:c>
      <x:c r="G70" s="109" t="n">
        <x:v>-0.028</x:v>
      </x:c>
      <x:c r="H70" s="4"/>
    </x:row>
    <x:row r="71" ht="23" customHeight="1">
      <x:c r="A71" s="4"/>
      <x:c r="B71" s="4"/>
      <x:c r="C71" s="4"/>
      <x:c r="D71" s="4"/>
      <x:c r="E71" s="4"/>
      <x:c r="F71" s="4"/>
      <x:c r="G71" s="4"/>
      <x:c r="H71" s="4"/>
    </x:row>
    <x:row r="72" ht="23" customHeight="1">
      <x:c r="A72" s="4"/>
      <x:c r="B72" s="4"/>
      <x:c r="C72" s="4"/>
      <x:c r="D72" s="4"/>
      <x:c r="E72" s="4"/>
      <x:c r="F72" s="4"/>
      <x:c r="G72" s="4"/>
      <x:c r="H72" s="4"/>
    </x:row>
    <x:row r="73" ht="25" customHeight="1">
      <x:c r="A73" s="4"/>
      <x:c r="B73" s="58" t="str">
        <x:v>Terminal Return on Incremental Capital</x:v>
      </x:c>
      <x:c r="C73" s="58"/>
      <x:c r="D73" s="58"/>
      <x:c r="E73" s="58"/>
      <x:c r="F73" s="58"/>
      <x:c r="G73" s="58"/>
      <x:c r="H73" s="58"/>
    </x:row>
    <x:row r="74" ht="50" customHeight="1">
      <x:c r="A74" s="4"/>
      <x:c r="B74" s="118" t="str">
        <x:v>Base terminal ROIC</x:v>
      </x:c>
      <x:c r="C74" s="131" t="n">
        <x:v>0.25</x:v>
      </x:c>
      <x:c r="D74" s="25" t="str">
        <x:v>Analyst assumption. Terminal net reinvestment = terminal NOPAT × growth / ROIC. Includes ordinary capital and contract investment.</x:v>
      </x:c>
      <x:c r="E74" s="25"/>
      <x:c r="F74" s="25"/>
      <x:c r="G74" s="25"/>
      <x:c r="H74" s="4"/>
    </x:row>
    <x:row r="75" ht="50" customHeight="1">
      <x:c r="A75" s="4"/>
      <x:c r="B75" s="118" t="str">
        <x:v>Downside terminal ROIC</x:v>
      </x:c>
      <x:c r="C75" s="131" t="n">
        <x:v>0.2</x:v>
      </x:c>
      <x:c r="D75" s="25" t="str">
        <x:v>Analyst assumption. Terminal net reinvestment = terminal NOPAT × growth / ROIC. Includes ordinary capital and contract investment.</x:v>
      </x:c>
      <x:c r="E75" s="25"/>
      <x:c r="F75" s="25"/>
      <x:c r="G75" s="25"/>
      <x:c r="H75" s="4"/>
    </x:row>
    <x:row r="76" ht="50" customHeight="1">
      <x:c r="A76" s="4"/>
      <x:c r="B76" s="118" t="str">
        <x:v>Upside terminal ROIC</x:v>
      </x:c>
      <x:c r="C76" s="131" t="n">
        <x:v>0.3</x:v>
      </x:c>
      <x:c r="D76" s="25" t="str">
        <x:v>Analyst assumption. Terminal net reinvestment = terminal NOPAT × growth / ROIC. Includes ordinary capital and contract investment.</x:v>
      </x:c>
      <x:c r="E76" s="25"/>
      <x:c r="F76" s="25"/>
      <x:c r="G76" s="25"/>
      <x:c r="H76" s="4"/>
    </x:row>
    <x:row r="77" ht="23" customHeight="1">
      <x:c r="A77" s="4"/>
      <x:c r="B77" s="4"/>
      <x:c r="C77" s="4"/>
      <x:c r="D77" s="4"/>
      <x:c r="E77" s="4"/>
      <x:c r="F77" s="4"/>
      <x:c r="G77" s="4"/>
      <x:c r="H77" s="4"/>
    </x:row>
    <x:row r="78" ht="23" customHeight="1">
      <x:c r="A78" s="4"/>
      <x:c r="B78" s="4"/>
      <x:c r="C78" s="4"/>
      <x:c r="D78" s="4"/>
      <x:c r="E78" s="4"/>
      <x:c r="F78" s="4"/>
      <x:c r="G78" s="4"/>
      <x:c r="H78" s="4"/>
    </x:row>
    <x:row r="79" ht="23" customHeight="1">
      <x:c r="A79" s="4"/>
      <x:c r="B79" s="4"/>
      <x:c r="C79" s="4"/>
      <x:c r="D79" s="4"/>
      <x:c r="E79" s="4"/>
      <x:c r="F79" s="4"/>
      <x:c r="G79" s="4"/>
      <x:c r="H79" s="4"/>
    </x:row>
  </x:sheetData>
  <x:mergeCells>
    <x:mergeCell ref="D5:E5"/>
    <x:mergeCell ref="D6:E6"/>
    <x:mergeCell ref="H6:L6"/>
    <x:mergeCell ref="D7:E7"/>
    <x:mergeCell ref="H7:L7"/>
    <x:mergeCell ref="D8:E8"/>
    <x:mergeCell ref="H8:L8"/>
    <x:mergeCell ref="D9:E9"/>
    <x:mergeCell ref="H9:L9"/>
    <x:mergeCell ref="D10:E10"/>
    <x:mergeCell ref="H10:L10"/>
    <x:mergeCell ref="D11:E11"/>
    <x:mergeCell ref="H11:L11"/>
    <x:mergeCell ref="D12:E12"/>
    <x:mergeCell ref="H12:L12"/>
    <x:mergeCell ref="D13:E13"/>
    <x:mergeCell ref="D14:E14"/>
    <x:mergeCell ref="D15:E15"/>
    <x:mergeCell ref="D16:E16"/>
    <x:mergeCell ref="D17:E17"/>
    <x:mergeCell ref="D18:E18"/>
    <x:mergeCell ref="D19:E19"/>
    <x:mergeCell ref="D20:E20"/>
    <x:mergeCell ref="D21:E21"/>
    <x:mergeCell ref="D22:E22"/>
    <x:mergeCell ref="D23:E23"/>
    <x:mergeCell ref="D24:E24"/>
    <x:mergeCell ref="D25:E25"/>
    <x:mergeCell ref="D26:E26"/>
    <x:mergeCell ref="D27:E27"/>
    <x:mergeCell ref="D28:E28"/>
    <x:mergeCell ref="D74:G74"/>
    <x:mergeCell ref="D75:G75"/>
    <x:mergeCell ref="D76:G76"/>
  </x:mergeCells>
  <x:pageMargins left="0.7" right="0.7" top="0.75" bottom="0.75" header="0.3" footer="0.3"/>
</x:worksheet>
</file>

<file path=xl/worksheets/sheet5.xml><?xml version="1.0" encoding="utf-8"?>
<x:worksheet xmlns:x="http://schemas.openxmlformats.org/spreadsheetml/2006/main">
  <x:sheetPr>
    <x:tabColor rgb="FFC8D1D8"/>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31" customHeight="1">
      <x:c r="A1" s="6"/>
      <x:c r="B1" s="22" t="str">
        <x:v>ADP, Base-Case Forecast</x:v>
      </x:c>
      <x:c r="C1" s="22"/>
      <x:c r="D1" s="22"/>
      <x:c r="E1" s="22"/>
      <x:c r="F1" s="22"/>
      <x:c r="G1" s="22"/>
      <x:c r="H1" s="22"/>
      <x:c r="I1" s="22"/>
      <x:c r="J1" s="22"/>
      <x:c r="K1" s="22"/>
      <x:c r="L1" s="22"/>
      <x:c r="M1" s="22"/>
      <x:c r="N1" s="22"/>
      <x:c r="O1" s="22"/>
      <x:c r="P1" s="22"/>
      <x:c r="Q1" s="22"/>
    </x:row>
    <x:row r="2" ht="34" customHeight="1">
      <x:c r="A2" s="7"/>
      <x:c r="B2" s="26" t="str">
        <x:v>FY2027-FY2031 forecast. Revenue components are shown separately.</x:v>
      </x:c>
      <x:c r="C2" s="26"/>
      <x:c r="D2" s="26"/>
      <x:c r="E2" s="26"/>
      <x:c r="F2" s="26"/>
      <x:c r="G2" s="26"/>
      <x:c r="H2" s="26"/>
      <x:c r="I2" s="26"/>
      <x:c r="J2" s="26"/>
      <x:c r="K2" s="26"/>
      <x:c r="L2" s="26"/>
      <x:c r="M2" s="26"/>
      <x:c r="N2" s="26"/>
      <x:c r="O2" s="26"/>
      <x:c r="P2" s="26"/>
      <x:c r="Q2" s="26"/>
    </x:row>
    <x:row r="3" ht="23" customHeight="1">
      <x:c r="A3" s="4"/>
      <x:c r="B3" s="4"/>
      <x:c r="C3" s="4"/>
      <x:c r="D3" s="4"/>
      <x:c r="E3" s="4"/>
      <x:c r="F3" s="4"/>
      <x:c r="G3" s="4"/>
      <x:c r="H3" s="4"/>
      <x:c r="I3" s="4"/>
      <x:c r="J3" s="4"/>
      <x:c r="K3" s="4"/>
      <x:c r="L3" s="4"/>
      <x:c r="M3" s="4"/>
      <x:c r="N3" s="4"/>
      <x:c r="O3" s="4"/>
      <x:c r="P3" s="4"/>
      <x:c r="Q3" s="4"/>
    </x:row>
    <x:row r="4" ht="25" customHeight="1">
      <x:c r="A4" s="4"/>
      <x:c r="B4" s="57" t="str">
        <x:v>Base Forecast</x:v>
      </x:c>
      <x:c r="C4" s="58"/>
      <x:c r="D4" s="58"/>
      <x:c r="E4" s="58"/>
      <x:c r="F4" s="58"/>
      <x:c r="G4" s="58"/>
      <x:c r="H4" s="58"/>
      <x:c r="I4" s="58"/>
      <x:c r="J4" s="58"/>
      <x:c r="K4" s="58"/>
      <x:c r="L4" s="58"/>
      <x:c r="M4" s="58"/>
      <x:c r="N4" s="58"/>
      <x:c r="O4" s="58"/>
      <x:c r="P4" s="58"/>
      <x:c r="Q4" s="58"/>
    </x:row>
    <x:row r="5" ht="34" customHeight="1">
      <x:c r="A5" s="4"/>
      <x:c r="B5" s="40" t="str">
        <x:v>Metric</x:v>
      </x:c>
      <x:c r="C5" s="40" t="str">
        <x:v>FY2027E</x:v>
      </x:c>
      <x:c r="D5" s="40" t="str">
        <x:v>FY2028E</x:v>
      </x:c>
      <x:c r="E5" s="40" t="str">
        <x:v>FY2029E</x:v>
      </x:c>
      <x:c r="F5" s="40" t="str">
        <x:v>FY2030E</x:v>
      </x:c>
      <x:c r="G5" s="40" t="str">
        <x:v>FY2031E</x:v>
      </x:c>
      <x:c r="H5" s="42"/>
      <x:c r="I5" s="42"/>
      <x:c r="J5" s="42"/>
      <x:c r="K5" s="42"/>
      <x:c r="L5" s="42"/>
      <x:c r="M5" s="42"/>
      <x:c r="N5" s="40" t="str">
        <x:v>Year</x:v>
      </x:c>
      <x:c r="O5" s="40" t="str">
        <x:v>Revenue</x:v>
      </x:c>
      <x:c r="P5" s="40" t="str">
        <x:v>EBIT</x:v>
      </x:c>
      <x:c r="Q5" s="40" t="str">
        <x:v>FCFF</x:v>
      </x:c>
    </x:row>
    <x:row r="6" ht="23" customHeight="1">
      <x:c r="A6" s="4"/>
      <x:c r="B6" s="6" t="str">
        <x:v>Core HCM revenue</x:v>
      </x:c>
      <x:c r="C6" s="101" t="n">
        <x:f>'Scenarios'!C6</x:f>
        <x:v>14150.64</x:v>
      </x:c>
      <x:c r="D6" s="101" t="n">
        <x:f>'Scenarios'!D6</x:f>
        <x:v>14928.925199999998</x:v>
      </x:c>
      <x:c r="E6" s="101" t="n">
        <x:f>'Scenarios'!E6</x:f>
        <x:v>15720.158235599996</x:v>
      </x:c>
      <x:c r="F6" s="101" t="n">
        <x:f>'Scenarios'!F6</x:f>
        <x:v>16506.166147379998</x:v>
      </x:c>
      <x:c r="G6" s="101" t="n">
        <x:f>'Scenarios'!G6</x:f>
        <x:v>17281.955956306858</x:v>
      </x:c>
      <x:c r="H6" s="4"/>
      <x:c r="I6" s="4"/>
      <x:c r="J6" s="4"/>
      <x:c r="K6" s="4"/>
      <x:c r="L6" s="4"/>
      <x:c r="M6" s="4"/>
      <x:c r="N6" s="99" t="n">
        <x:v>2027</x:v>
      </x:c>
      <x:c r="O6" s="97" t="n">
        <x:f>C12</x:f>
        <x:v>23259.4455</x:v>
      </x:c>
      <x:c r="P6" s="97" t="n">
        <x:f>C14</x:f>
        <x:v>6310.2875641499995</x:v>
      </x:c>
      <x:c r="Q6" s="97" t="n">
        <x:f>C19</x:f>
        <x:v>4672.636680302201</x:v>
      </x:c>
    </x:row>
    <x:row r="7" ht="23" customHeight="1">
      <x:c r="A7" s="4"/>
      <x:c r="B7" s="6" t="str">
        <x:v>Average client-funds balance</x:v>
      </x:c>
      <x:c r="C7" s="101" t="n">
        <x:f>'Scenarios'!C7</x:f>
        <x:v>41814</x:v>
      </x:c>
      <x:c r="D7" s="101" t="n">
        <x:f>'Scenarios'!D7</x:f>
        <x:v>43486.560000000005</x:v>
      </x:c>
      <x:c r="E7" s="101" t="n">
        <x:f>'Scenarios'!E7</x:f>
        <x:v>45226.02240000001</x:v>
      </x:c>
      <x:c r="F7" s="101" t="n">
        <x:f>'Scenarios'!F7</x:f>
        <x:v>47035.06329600001</x:v>
      </x:c>
      <x:c r="G7" s="101" t="n">
        <x:f>'Scenarios'!G7</x:f>
        <x:v>48916.46582784001</x:v>
      </x:c>
      <x:c r="H7" s="4"/>
      <x:c r="I7" s="4"/>
      <x:c r="J7" s="4"/>
      <x:c r="K7" s="4"/>
      <x:c r="L7" s="4"/>
      <x:c r="M7" s="4"/>
      <x:c r="N7" s="99" t="n">
        <x:v>2028</x:v>
      </x:c>
      <x:c r="O7" s="97" t="n">
        <x:f>D12</x:f>
        <x:v>24557.67063</x:v>
      </x:c>
      <x:c r="P7" s="97" t="n">
        <x:f>D14</x:f>
        <x:v>6827.0324351399995</x:v>
      </x:c>
      <x:c r="Q7" s="97" t="n">
        <x:f>D19</x:f>
        <x:v>5074.635939767339</x:v>
      </x:c>
    </x:row>
    <x:row r="8" ht="23" customHeight="1">
      <x:c r="A8" s="4"/>
      <x:c r="B8" s="6" t="str">
        <x:v>Client-funds yield</x:v>
      </x:c>
      <x:c r="C8" s="133" t="n">
        <x:f>'Scenarios'!C8</x:f>
        <x:v>0.037</x:v>
      </x:c>
      <x:c r="D8" s="133" t="n">
        <x:f>'Scenarios'!D8</x:f>
        <x:v>0.038</x:v>
      </x:c>
      <x:c r="E8" s="133" t="n">
        <x:f>'Scenarios'!E8</x:f>
        <x:v>0.037</x:v>
      </x:c>
      <x:c r="F8" s="133" t="n">
        <x:f>'Scenarios'!F8</x:f>
        <x:v>0.036</x:v>
      </x:c>
      <x:c r="G8" s="133" t="n">
        <x:f>'Scenarios'!G8</x:f>
        <x:v>0.035</x:v>
      </x:c>
      <x:c r="H8" s="4"/>
      <x:c r="I8" s="4"/>
      <x:c r="J8" s="4"/>
      <x:c r="K8" s="4"/>
      <x:c r="L8" s="4"/>
      <x:c r="M8" s="4"/>
      <x:c r="N8" s="99" t="n">
        <x:v>2029</x:v>
      </x:c>
      <x:c r="O8" s="97" t="n">
        <x:f>E12</x:f>
        <x:v>25781.208924649996</x:v>
      </x:c>
      <x:c r="P8" s="97" t="n">
        <x:f>E14</x:f>
        <x:v>7296.082125675948</x:v>
      </x:c>
      <x:c r="Q8" s="97" t="n">
        <x:f>E19</x:f>
        <x:v>5438.727902980143</x:v>
      </x:c>
    </x:row>
    <x:row r="9" ht="23" customHeight="1">
      <x:c r="A9" s="4"/>
      <x:c r="B9" s="6" t="str">
        <x:v>Client-funds interest</x:v>
      </x:c>
      <x:c r="C9" s="101" t="n">
        <x:f>'Scenarios'!C9</x:f>
        <x:v>1547.118</x:v>
      </x:c>
      <x:c r="D9" s="101" t="n">
        <x:f>'Scenarios'!D9</x:f>
        <x:v>1652.4892800000002</x:v>
      </x:c>
      <x:c r="E9" s="101" t="n">
        <x:f>'Scenarios'!E9</x:f>
        <x:v>1673.3628288000002</x:v>
      </x:c>
      <x:c r="F9" s="101" t="n">
        <x:f>'Scenarios'!F9</x:f>
        <x:v>1693.262278656</x:v>
      </x:c>
      <x:c r="G9" s="101" t="n">
        <x:f>'Scenarios'!G9</x:f>
        <x:v>1712.0763039744004</x:v>
      </x:c>
      <x:c r="H9" s="4"/>
      <x:c r="I9" s="4"/>
      <x:c r="J9" s="4"/>
      <x:c r="K9" s="4"/>
      <x:c r="L9" s="4"/>
      <x:c r="M9" s="4"/>
      <x:c r="N9" s="99" t="n">
        <x:v>2030</x:v>
      </x:c>
      <x:c r="O9" s="97" t="n">
        <x:f>F12</x:f>
        <x:v>26983.709331290498</x:v>
      </x:c>
      <x:c r="P9" s="97" t="n">
        <x:f>F14</x:f>
        <x:v>7744.324578080372</x:v>
      </x:c>
      <x:c r="Q9" s="97" t="n">
        <x:f>F19</x:f>
        <x:v>5760.484104339459</x:v>
      </x:c>
    </x:row>
    <x:row r="10" ht="23" customHeight="1">
      <x:c r="A10" s="4"/>
      <x:c r="B10" s="6" t="str">
        <x:v>PEO ex pass-through</x:v>
      </x:c>
      <x:c r="C10" s="101" t="n">
        <x:f>'Scenarios'!C10</x:f>
        <x:v>2608.84</x:v>
      </x:c>
      <x:c r="D10" s="101" t="n">
        <x:f>'Scenarios'!D10</x:f>
        <x:v>2726.2378</x:v>
      </x:c>
      <x:c r="E10" s="101" t="n">
        <x:f>'Scenarios'!E10</x:f>
        <x:v>2848.9185009999997</x:v>
      </x:c>
      <x:c r="F10" s="101" t="n">
        <x:f>'Scenarios'!F10</x:f>
        <x:v>2968.573078042</x:v>
      </x:c>
      <x:c r="G10" s="101" t="n">
        <x:f>'Scenarios'!G10</x:f>
        <x:v>3087.31600116368</x:v>
      </x:c>
      <x:c r="H10" s="4"/>
      <x:c r="I10" s="4"/>
      <x:c r="J10" s="4"/>
      <x:c r="K10" s="4"/>
      <x:c r="L10" s="4"/>
      <x:c r="M10" s="4"/>
      <x:c r="N10" s="99" t="n">
        <x:v>2031</x:v>
      </x:c>
      <x:c r="O10" s="97" t="n">
        <x:f>G12</x:f>
        <x:v>28187.84148001806</x:v>
      </x:c>
      <x:c r="P10" s="97" t="n">
        <x:f>G14</x:f>
        <x:v>8174.4740292052375</x:v>
      </x:c>
      <x:c r="Q10" s="97" t="n">
        <x:f>G19</x:f>
        <x:v>6095.290323287545</x:v>
      </x:c>
    </x:row>
    <x:row r="11" ht="23" customHeight="1">
      <x:c r="A11" s="4"/>
      <x:c r="B11" s="6" t="str">
        <x:v>PEO pass-through</x:v>
      </x:c>
      <x:c r="C11" s="101" t="n">
        <x:f>'Scenarios'!C11</x:f>
        <x:v>4952.8475</x:v>
      </x:c>
      <x:c r="D11" s="101" t="n">
        <x:f>'Scenarios'!D11</x:f>
        <x:v>5250.01835</x:v>
      </x:c>
      <x:c r="E11" s="101" t="n">
        <x:f>'Scenarios'!E11</x:f>
        <x:v>5538.76935925</x:v>
      </x:c>
      <x:c r="F11" s="101" t="n">
        <x:f>'Scenarios'!F11</x:f>
        <x:v>5815.7078272125</x:v>
      </x:c>
      <x:c r="G11" s="101" t="n">
        <x:f>'Scenarios'!G11</x:f>
        <x:v>6106.493218573125</x:v>
      </x:c>
      <x:c r="H11" s="4"/>
      <x:c r="I11" s="4"/>
      <x:c r="J11" s="4"/>
      <x:c r="K11" s="4"/>
      <x:c r="L11" s="4"/>
      <x:c r="M11" s="4"/>
      <x:c r="N11" s="4"/>
      <x:c r="O11" s="4"/>
      <x:c r="P11" s="4"/>
      <x:c r="Q11" s="4"/>
    </x:row>
    <x:row r="12" ht="23" customHeight="1">
      <x:c r="A12" s="4"/>
      <x:c r="B12" s="6" t="str">
        <x:v>Total revenue</x:v>
      </x:c>
      <x:c r="C12" s="101" t="n">
        <x:f>'Scenarios'!C12</x:f>
        <x:v>23259.4455</x:v>
      </x:c>
      <x:c r="D12" s="101" t="n">
        <x:f>'Scenarios'!D12</x:f>
        <x:v>24557.67063</x:v>
      </x:c>
      <x:c r="E12" s="101" t="n">
        <x:f>'Scenarios'!E12</x:f>
        <x:v>25781.208924649996</x:v>
      </x:c>
      <x:c r="F12" s="101" t="n">
        <x:f>'Scenarios'!F12</x:f>
        <x:v>26983.709331290498</x:v>
      </x:c>
      <x:c r="G12" s="101" t="n">
        <x:f>'Scenarios'!G12</x:f>
        <x:v>28187.84148001806</x:v>
      </x:c>
      <x:c r="H12" s="4"/>
      <x:c r="I12" s="4"/>
      <x:c r="J12" s="4"/>
      <x:c r="K12" s="4"/>
      <x:c r="L12" s="4"/>
      <x:c r="M12" s="4"/>
      <x:c r="N12" s="4"/>
      <x:c r="O12" s="4"/>
      <x:c r="P12" s="4"/>
      <x:c r="Q12" s="4"/>
    </x:row>
    <x:row r="13" ht="23" customHeight="1">
      <x:c r="A13" s="4"/>
      <x:c r="B13" s="6" t="str">
        <x:v>Revenue growth</x:v>
      </x:c>
      <x:c r="C13" s="133" t="n">
        <x:f>'Scenarios'!C13</x:f>
        <x:v>0.05978136362393749</x:v>
      </x:c>
      <x:c r="D13" s="133" t="n">
        <x:f>'Scenarios'!D13</x:f>
        <x:v>0.055814964720461546</x:v>
      </x:c>
      <x:c r="E13" s="133" t="n">
        <x:f>'Scenarios'!E13</x:f>
        <x:v>0.04982305989377123</x:v>
      </x:c>
      <x:c r="F13" s="133" t="n">
        <x:f>'Scenarios'!F13</x:f>
        <x:v>0.046642514327199125</x:v>
      </x:c>
      <x:c r="G13" s="133" t="n">
        <x:f>'Scenarios'!G13</x:f>
        <x:v>0.044624411490055804</x:v>
      </x:c>
      <x:c r="H13" s="4"/>
      <x:c r="I13" s="4"/>
      <x:c r="J13" s="4"/>
      <x:c r="K13" s="4"/>
      <x:c r="L13" s="4"/>
      <x:c r="M13" s="4"/>
      <x:c r="N13" s="4"/>
      <x:c r="O13" s="4"/>
      <x:c r="P13" s="4"/>
      <x:c r="Q13" s="4"/>
    </x:row>
    <x:row r="14" ht="23" customHeight="1">
      <x:c r="A14" s="4"/>
      <x:c r="B14" s="6" t="str">
        <x:v>EBIT</x:v>
      </x:c>
      <x:c r="C14" s="101" t="n">
        <x:f>'Scenarios'!C15</x:f>
        <x:v>6310.2875641499995</x:v>
      </x:c>
      <x:c r="D14" s="101" t="n">
        <x:f>'Scenarios'!D15</x:f>
        <x:v>6827.0324351399995</x:v>
      </x:c>
      <x:c r="E14" s="101" t="n">
        <x:f>'Scenarios'!E15</x:f>
        <x:v>7296.082125675948</x:v>
      </x:c>
      <x:c r="F14" s="101" t="n">
        <x:f>'Scenarios'!F15</x:f>
        <x:v>7744.324578080372</x:v>
      </x:c>
      <x:c r="G14" s="101" t="n">
        <x:f>'Scenarios'!G15</x:f>
        <x:v>8174.4740292052375</x:v>
      </x:c>
      <x:c r="H14" s="4"/>
      <x:c r="I14" s="4"/>
      <x:c r="J14" s="4"/>
      <x:c r="K14" s="4"/>
      <x:c r="L14" s="4"/>
      <x:c r="M14" s="4"/>
      <x:c r="N14" s="4"/>
      <x:c r="O14" s="4"/>
      <x:c r="P14" s="4"/>
      <x:c r="Q14" s="4"/>
    </x:row>
    <x:row r="15" ht="23" customHeight="1">
      <x:c r="A15" s="4"/>
      <x:c r="B15" s="6" t="str">
        <x:v>Operating margin</x:v>
      </x:c>
      <x:c r="C15" s="133" t="n">
        <x:f>'Scenarios'!C14</x:f>
        <x:v>0.2713</x:v>
      </x:c>
      <x:c r="D15" s="133" t="n">
        <x:f>'Scenarios'!D14</x:f>
        <x:v>0.27799999999999997</x:v>
      </x:c>
      <x:c r="E15" s="133" t="n">
        <x:f>'Scenarios'!E14</x:f>
        <x:v>0.283</x:v>
      </x:c>
      <x:c r="F15" s="133" t="n">
        <x:f>'Scenarios'!F14</x:f>
        <x:v>0.287</x:v>
      </x:c>
      <x:c r="G15" s="133" t="n">
        <x:f>'Scenarios'!G14</x:f>
        <x:v>0.29</x:v>
      </x:c>
      <x:c r="H15" s="4"/>
      <x:c r="I15" s="4"/>
      <x:c r="J15" s="4"/>
      <x:c r="K15" s="4"/>
      <x:c r="L15" s="4"/>
      <x:c r="M15" s="4"/>
      <x:c r="N15" s="4"/>
      <x:c r="O15" s="4"/>
      <x:c r="P15" s="4"/>
      <x:c r="Q15" s="4"/>
    </x:row>
    <x:row r="16" ht="23" customHeight="1">
      <x:c r="A16" s="4"/>
      <x:c r="B16" s="6" t="str">
        <x:v>D&amp;A</x:v>
      </x:c>
      <x:c r="C16" s="101" t="n">
        <x:f>'Scenarios'!C18</x:f>
        <x:v>604.7455829999999</x:v>
      </x:c>
      <x:c r="D16" s="101" t="n">
        <x:f>'Scenarios'!D18</x:f>
        <x:v>626.2206010649999</x:v>
      </x:c>
      <x:c r="E16" s="101" t="n">
        <x:f>'Scenarios'!E18</x:f>
        <x:v>644.5302231162498</x:v>
      </x:c>
      <x:c r="F16" s="101" t="n">
        <x:f>'Scenarios'!F18</x:f>
        <x:v>661.1008786166171</x:v>
      </x:c>
      <x:c r="G16" s="101" t="n">
        <x:f>'Scenarios'!G18</x:f>
        <x:v>676.5081955204334</x:v>
      </x:c>
      <x:c r="H16" s="4"/>
      <x:c r="I16" s="4"/>
      <x:c r="J16" s="4"/>
      <x:c r="K16" s="4"/>
      <x:c r="L16" s="4"/>
      <x:c r="M16" s="4"/>
      <x:c r="N16" s="4"/>
      <x:c r="O16" s="4"/>
      <x:c r="P16" s="4"/>
      <x:c r="Q16" s="4"/>
    </x:row>
    <x:row r="17" ht="28" customHeight="1">
      <x:c r="A17" s="4"/>
      <x:c r="B17" s="7" t="str">
        <x:v>Operating capital incl. contracts</x:v>
      </x:c>
      <x:c r="C17" s="101" t="n">
        <x:f>'Scenarios'!C20</x:f>
        <x:v>2937.714462093298</x:v>
      </x:c>
      <x:c r="D17" s="101" t="n">
        <x:f>'Scenarios'!D20</x:f>
        <x:v>3033.941650178758</x:v>
      </x:c>
      <x:c r="E17" s="101" t="n">
        <x:f>'Scenarios'!E20</x:f>
        <x:v>3135.853357195145</x:v>
      </x:c>
      <x:c r="F17" s="101" t="n">
        <x:f>'Scenarios'!F20</x:f>
        <x:v>3244.0561953180554</x:v>
      </x:c>
      <x:c r="G17" s="101" t="n">
        <x:f>'Scenarios'!G20</x:f>
        <x:v>3358.5473500784888</x:v>
      </x:c>
      <x:c r="H17" s="4"/>
      <x:c r="I17" s="4"/>
      <x:c r="J17" s="4"/>
      <x:c r="K17" s="4"/>
      <x:c r="L17" s="4"/>
      <x:c r="M17" s="4"/>
      <x:c r="N17" s="4"/>
      <x:c r="O17" s="4"/>
      <x:c r="P17" s="4"/>
      <x:c r="Q17" s="4"/>
    </x:row>
    <x:row r="18" ht="23" customHeight="1">
      <x:c r="A18" s="4"/>
      <x:c r="B18" s="6" t="str">
        <x:v>Change in operating capital</x:v>
      </x:c>
      <x:c r="C18" s="101" t="n">
        <x:f>'Scenarios'!C21</x:f>
        <x:v>93.24696209329841</x:v>
      </x:c>
      <x:c r="D18" s="101" t="n">
        <x:f>'Scenarios'!D21</x:f>
        <x:v>96.22718808546006</x:v>
      </x:c>
      <x:c r="E18" s="101" t="n">
        <x:f>'Scenarios'!E21</x:f>
        <x:v>101.91170701638657</x:v>
      </x:c>
      <x:c r="F18" s="101" t="n">
        <x:f>'Scenarios'!F21</x:f>
        <x:v>108.20283812291063</x:v>
      </x:c>
      <x:c r="G18" s="101" t="n">
        <x:f>'Scenarios'!G21</x:f>
        <x:v>114.49115476043335</x:v>
      </x:c>
      <x:c r="H18" s="4"/>
      <x:c r="I18" s="4"/>
      <x:c r="J18" s="4"/>
      <x:c r="K18" s="4"/>
      <x:c r="L18" s="4"/>
      <x:c r="M18" s="4"/>
      <x:c r="N18" s="4"/>
      <x:c r="O18" s="4"/>
      <x:c r="P18" s="4"/>
      <x:c r="Q18" s="4"/>
    </x:row>
    <x:row r="19" ht="23" customHeight="1">
      <x:c r="A19" s="4"/>
      <x:c r="B19" s="6" t="str">
        <x:v>FCFF</x:v>
      </x:c>
      <x:c r="C19" s="101" t="n">
        <x:f>'Scenarios'!C22</x:f>
        <x:v>4672.636680302201</x:v>
      </x:c>
      <x:c r="D19" s="101" t="n">
        <x:f>'Scenarios'!D22</x:f>
        <x:v>5074.635939767339</x:v>
      </x:c>
      <x:c r="E19" s="101" t="n">
        <x:f>'Scenarios'!E22</x:f>
        <x:v>5438.727902980143</x:v>
      </x:c>
      <x:c r="F19" s="101" t="n">
        <x:f>'Scenarios'!F22</x:f>
        <x:v>5760.484104339459</x:v>
      </x:c>
      <x:c r="G19" s="101" t="n">
        <x:f>'Scenarios'!G22</x:f>
        <x:v>6095.290323287545</x:v>
      </x:c>
      <x:c r="H19" s="4"/>
      <x:c r="I19" s="4"/>
      <x:c r="J19" s="4"/>
      <x:c r="K19" s="4"/>
      <x:c r="L19" s="4"/>
      <x:c r="M19" s="4"/>
      <x:c r="N19" s="4"/>
      <x:c r="O19" s="4"/>
      <x:c r="P19" s="4"/>
      <x:c r="Q19" s="4"/>
    </x:row>
    <x:row r="20" ht="23" customHeight="1">
      <x:c r="A20" s="4"/>
      <x:c r="B20" s="6" t="str">
        <x:v>PV of FCFF</x:v>
      </x:c>
      <x:c r="C20" s="101" t="n">
        <x:f>'Scenarios'!C24</x:f>
        <x:v>3929.6511838382967</x:v>
      </x:c>
      <x:c r="D20" s="101" t="n">
        <x:f>'Scenarios'!D24</x:f>
        <x:v>4383.252117826479</x:v>
      </x:c>
      <x:c r="E20" s="101" t="n">
        <x:f>'Scenarios'!E24</x:f>
        <x:v>4349.937540079322</x:v>
      </x:c>
      <x:c r="F20" s="101" t="n">
        <x:f>'Scenarios'!F24</x:f>
        <x:v>4266.176318740185</x:v>
      </x:c>
      <x:c r="G20" s="101" t="n">
        <x:f>'Scenarios'!G24</x:f>
        <x:v>4179.92359293012</x:v>
      </x:c>
      <x:c r="H20" s="4"/>
      <x:c r="I20" s="4"/>
      <x:c r="J20" s="4"/>
      <x:c r="K20" s="4"/>
      <x:c r="L20" s="4"/>
      <x:c r="M20" s="4"/>
      <x:c r="N20" s="4"/>
      <x:c r="O20" s="4"/>
      <x:c r="P20" s="4"/>
      <x:c r="Q20" s="4"/>
    </x:row>
    <x:row r="21" ht="23" customHeight="1">
      <x:c r="A21" s="4"/>
      <x:c r="B21" s="4"/>
      <x:c r="C21" s="4"/>
      <x:c r="D21" s="4"/>
      <x:c r="E21" s="4"/>
      <x:c r="F21" s="4"/>
      <x:c r="G21" s="4"/>
      <x:c r="H21" s="4"/>
      <x:c r="I21" s="4"/>
      <x:c r="J21" s="4"/>
      <x:c r="K21" s="4"/>
      <x:c r="L21" s="4"/>
      <x:c r="M21" s="4"/>
      <x:c r="N21" s="4"/>
      <x:c r="O21" s="4"/>
      <x:c r="P21" s="4"/>
      <x:c r="Q21" s="4"/>
    </x:row>
    <x:row r="22" ht="23" customHeight="1">
      <x:c r="A22" s="4"/>
      <x:c r="B22" s="4"/>
      <x:c r="C22" s="4"/>
      <x:c r="D22" s="4"/>
      <x:c r="E22" s="4"/>
      <x:c r="F22" s="4"/>
      <x:c r="G22" s="4"/>
      <x:c r="H22" s="4"/>
      <x:c r="I22" s="4"/>
      <x:c r="J22" s="4"/>
      <x:c r="K22" s="4"/>
      <x:c r="L22" s="4"/>
      <x:c r="M22" s="4"/>
      <x:c r="N22" s="4"/>
      <x:c r="O22" s="4"/>
      <x:c r="P22" s="4"/>
      <x:c r="Q22" s="4"/>
    </x:row>
    <x:row r="23" ht="23" customHeight="1">
      <x:c r="A23" s="4"/>
      <x:c r="B23" s="4"/>
      <x:c r="C23" s="4"/>
      <x:c r="D23" s="4"/>
      <x:c r="E23" s="4"/>
      <x:c r="F23" s="4"/>
      <x:c r="G23" s="4"/>
      <x:c r="H23" s="4"/>
      <x:c r="I23" s="4"/>
      <x:c r="J23" s="4"/>
      <x:c r="K23" s="4"/>
      <x:c r="L23" s="4"/>
      <x:c r="M23" s="4"/>
      <x:c r="N23" s="4"/>
      <x:c r="O23" s="4"/>
      <x:c r="P23" s="4"/>
      <x:c r="Q23" s="4"/>
    </x:row>
    <x:row r="24" ht="24" customHeight="1">
      <x:c r="A24" s="4"/>
      <x:c r="B24" s="44" t="str">
        <x:v>Client-funds interest contributes separately to EBIT. Fee revenue drives operating D&amp;A and CapEx. Benefit reimbursements</x:v>
      </x:c>
      <x:c r="C24" s="26"/>
      <x:c r="D24" s="26"/>
      <x:c r="E24" s="26"/>
      <x:c r="F24" s="26"/>
      <x:c r="G24" s="26"/>
      <x:c r="H24" s="26"/>
      <x:c r="I24" s="26"/>
      <x:c r="J24" s="26"/>
      <x:c r="K24" s="26"/>
      <x:c r="L24" s="26"/>
      <x:c r="M24" s="26"/>
      <x:c r="N24" s="26"/>
      <x:c r="O24" s="26"/>
      <x:c r="P24" s="26"/>
      <x:c r="Q24" s="26"/>
    </x:row>
    <x:row r="25" ht="24" customHeight="1">
      <x:c r="A25" s="4"/>
      <x:c r="B25" s="45" t="str">
        <x:v>contribute no direct profit. Deferred contract additions less amortization enter operating investment once.</x:v>
      </x:c>
      <x:c r="C25" s="4"/>
      <x:c r="D25" s="4"/>
      <x:c r="E25" s="4"/>
      <x:c r="F25" s="4"/>
      <x:c r="G25" s="4"/>
      <x:c r="H25" s="4"/>
      <x:c r="I25" s="4"/>
      <x:c r="J25" s="4"/>
      <x:c r="K25" s="4"/>
      <x:c r="L25" s="4"/>
      <x:c r="M25" s="4"/>
      <x:c r="N25" s="4"/>
      <x:c r="O25" s="4"/>
      <x:c r="P25" s="4"/>
      <x:c r="Q25" s="4"/>
    </x:row>
    <x:row r="26" ht="23" customHeight="1">
      <x:c r="A26" s="4"/>
      <x:c r="B26" s="4"/>
      <x:c r="C26" s="4"/>
      <x:c r="D26" s="4"/>
      <x:c r="E26" s="4"/>
      <x:c r="F26" s="4"/>
      <x:c r="G26" s="4"/>
      <x:c r="H26" s="4"/>
      <x:c r="I26" s="4"/>
      <x:c r="J26" s="4"/>
      <x:c r="K26" s="4"/>
      <x:c r="L26" s="4"/>
      <x:c r="M26" s="4"/>
      <x:c r="N26" s="4"/>
      <x:c r="O26" s="4"/>
      <x:c r="P26" s="4"/>
      <x:c r="Q26" s="4"/>
    </x:row>
    <x:row r="27" ht="23" customHeight="1">
      <x:c r="A27" s="4"/>
      <x:c r="B27" s="4"/>
      <x:c r="C27" s="4"/>
      <x:c r="D27" s="4"/>
      <x:c r="E27" s="4"/>
      <x:c r="F27" s="4"/>
      <x:c r="G27" s="4"/>
      <x:c r="H27" s="4"/>
      <x:c r="I27" s="4"/>
      <x:c r="J27" s="4"/>
      <x:c r="K27" s="4"/>
      <x:c r="L27" s="4"/>
      <x:c r="M27" s="4"/>
      <x:c r="N27" s="4"/>
      <x:c r="O27" s="4"/>
      <x:c r="P27" s="4"/>
      <x:c r="Q27" s="4"/>
    </x:row>
    <x:row r="28" ht="23" customHeight="1">
      <x:c r="A28" s="4"/>
      <x:c r="B28" s="4"/>
      <x:c r="C28" s="4"/>
      <x:c r="D28" s="4"/>
      <x:c r="E28" s="4"/>
      <x:c r="F28" s="4"/>
      <x:c r="G28" s="4"/>
      <x:c r="H28" s="4"/>
      <x:c r="I28" s="4"/>
      <x:c r="J28" s="4"/>
      <x:c r="K28" s="4"/>
      <x:c r="L28" s="4"/>
      <x:c r="M28" s="4"/>
      <x:c r="N28" s="4"/>
      <x:c r="O28" s="4"/>
      <x:c r="P28" s="4"/>
      <x:c r="Q28" s="4"/>
    </x:row>
    <x:row r="29" ht="23" customHeight="1">
      <x:c r="A29" s="4"/>
      <x:c r="B29" s="4"/>
      <x:c r="C29" s="4"/>
      <x:c r="D29" s="4"/>
      <x:c r="E29" s="4"/>
      <x:c r="F29" s="4"/>
      <x:c r="G29" s="4"/>
      <x:c r="H29" s="4"/>
      <x:c r="I29" s="4"/>
      <x:c r="J29" s="4"/>
      <x:c r="K29" s="4"/>
      <x:c r="L29" s="4"/>
      <x:c r="M29" s="4"/>
      <x:c r="N29" s="4"/>
      <x:c r="O29" s="4"/>
      <x:c r="P29" s="4"/>
      <x:c r="Q29" s="4"/>
    </x:row>
    <x:row r="30" ht="23" customHeight="1">
      <x:c r="A30" s="4"/>
      <x:c r="B30" s="4"/>
      <x:c r="C30" s="4"/>
      <x:c r="D30" s="4"/>
      <x:c r="E30" s="4"/>
      <x:c r="F30" s="4"/>
      <x:c r="G30" s="4"/>
      <x:c r="H30" s="4"/>
      <x:c r="I30" s="4"/>
      <x:c r="J30" s="4"/>
      <x:c r="K30" s="4"/>
      <x:c r="L30" s="4"/>
      <x:c r="M30" s="4"/>
      <x:c r="N30" s="4"/>
      <x:c r="O30" s="4"/>
      <x:c r="P30" s="4"/>
      <x:c r="Q30" s="4"/>
    </x:row>
    <x:row r="36">
      <x:c r="B36" t="str">
        <x:v>Fiscal year</x:v>
      </x:c>
      <x:c r="C36" t="str">
        <x:v>Revenue</x:v>
      </x:c>
    </x:row>
    <x:row r="37">
      <x:c r="B37" s="200" t="str">
        <x:v>2027</x:v>
      </x:c>
      <x:c r="C37" t="n">
        <x:f>C12</x:f>
        <x:v>23259.4455</x:v>
      </x:c>
    </x:row>
    <x:row r="38">
      <x:c r="B38" s="200" t="str">
        <x:v>2028</x:v>
      </x:c>
      <x:c r="C38" t="n">
        <x:f>D12</x:f>
        <x:v>24557.67063</x:v>
      </x:c>
    </x:row>
    <x:row r="39">
      <x:c r="B39" s="200" t="str">
        <x:v>2029</x:v>
      </x:c>
      <x:c r="C39" t="n">
        <x:f>E12</x:f>
        <x:v>25781.208924649996</x:v>
      </x:c>
    </x:row>
    <x:row r="40">
      <x:c r="B40" s="200" t="str">
        <x:v>2030</x:v>
      </x:c>
      <x:c r="C40" t="n">
        <x:f>F12</x:f>
        <x:v>26983.709331290498</x:v>
      </x:c>
    </x:row>
    <x:row r="41">
      <x:c r="B41" s="200" t="str">
        <x:v>2031</x:v>
      </x:c>
      <x:c r="C41" t="n">
        <x:f>G12</x:f>
        <x:v>28187.84148001806</x:v>
      </x:c>
    </x:row>
  </x:sheetData>
  <x:pageMargins left="0.7" right="0.7" top="0.75" bottom="0.75" header="0.3" footer="0.3"/>
  <x:drawing xmlns:r="http://schemas.openxmlformats.org/officeDocument/2006/relationships" r:id="R98c55fc5b15a4eb3"/>
</x:worksheet>
</file>

<file path=xl/worksheets/sheet6.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34" hidden="0" customWidth="1"/>
    <x:col min="4" max="4" width="34" hidden="0" customWidth="1"/>
    <x:col min="5" max="5" width="34" hidden="0" customWidth="1"/>
    <x:col min="6" max="6" width="3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31" customHeight="1">
      <x:c r="A1" s="6"/>
      <x:c r="B1" s="22" t="str">
        <x:v>ADP, Operating Drivers</x:v>
      </x:c>
      <x:c r="C1" s="22"/>
      <x:c r="D1" s="22"/>
      <x:c r="E1" s="22"/>
      <x:c r="F1" s="22"/>
      <x:c r="G1" s="22"/>
      <x:c r="H1" s="22"/>
      <x:c r="I1" s="22"/>
      <x:c r="J1" s="22"/>
      <x:c r="K1" s="22"/>
      <x:c r="L1" s="22"/>
      <x:c r="M1" s="22"/>
    </x:row>
    <x:row r="2" ht="34" customHeight="1">
      <x:c r="A2" s="7"/>
      <x:c r="B2" s="26" t="str">
        <x:v>Forecasts separate service fees, employment effects, client-funds interest and PEO benefit reimbursements.</x:v>
      </x:c>
      <x:c r="C2" s="26"/>
      <x:c r="D2" s="26"/>
      <x:c r="E2" s="26"/>
      <x:c r="F2" s="26"/>
      <x:c r="G2" s="26"/>
      <x:c r="H2" s="26"/>
      <x:c r="I2" s="26"/>
      <x:c r="J2" s="26"/>
      <x:c r="K2" s="26"/>
      <x:c r="L2" s="26"/>
      <x:c r="M2" s="26"/>
    </x:row>
    <x:row r="3" ht="23" customHeight="1">
      <x:c r="A3" s="4"/>
      <x:c r="B3" s="4"/>
      <x:c r="C3" s="4"/>
      <x:c r="D3" s="4"/>
      <x:c r="E3" s="4"/>
      <x:c r="F3" s="4"/>
      <x:c r="G3" s="4"/>
      <x:c r="H3" s="4"/>
      <x:c r="I3" s="4"/>
      <x:c r="J3" s="4"/>
      <x:c r="K3" s="4"/>
      <x:c r="L3" s="4"/>
      <x:c r="M3" s="4"/>
    </x:row>
    <x:row r="4" ht="25" customHeight="1">
      <x:c r="A4" s="4"/>
      <x:c r="B4" s="57" t="str">
        <x:v>Forecast Assumptions</x:v>
      </x:c>
      <x:c r="C4" s="58"/>
      <x:c r="D4" s="58"/>
      <x:c r="E4" s="58"/>
      <x:c r="F4" s="58"/>
      <x:c r="G4" s="58"/>
      <x:c r="H4" s="58"/>
      <x:c r="I4" s="58"/>
      <x:c r="J4" s="58"/>
      <x:c r="K4" s="58"/>
      <x:c r="L4" s="58"/>
      <x:c r="M4" s="58"/>
    </x:row>
    <x:row r="5" ht="45" customHeight="1">
      <x:c r="A5" s="4"/>
      <x:c r="B5" s="40" t="str">
        <x:v>Assumption</x:v>
      </x:c>
      <x:c r="C5" s="40" t="str">
        <x:v>Model formula</x:v>
      </x:c>
      <x:c r="D5" s="40" t="str">
        <x:v>Historical / external support</x:v>
      </x:c>
      <x:c r="E5" s="40" t="str">
        <x:v>Base-case logic</x:v>
      </x:c>
      <x:c r="F5" s="40" t="str">
        <x:v>What could prove it wrong</x:v>
      </x:c>
      <x:c r="G5" s="42"/>
      <x:c r="H5" s="42"/>
      <x:c r="I5" s="42"/>
      <x:c r="J5" s="42"/>
      <x:c r="K5" s="42"/>
      <x:c r="L5" s="42"/>
      <x:c r="M5" s="42"/>
    </x:row>
    <x:row r="6" ht="62" customHeight="1">
      <x:c r="A6" s="4"/>
      <x:c r="B6" s="7" t="str">
        <x:v>Core HCM revenue</x:v>
      </x:c>
      <x:c r="C6" s="7" t="str">
        <x:v>Prior core revenue × (1 + growth)</x:v>
      </x:c>
      <x:c r="D6" s="7" t="str">
        <x:v>FY2026 ES organic growth 5%, new business +6%, revenue retention 92.1%. Retention measures revenue, not client count.</x:v>
      </x:c>
      <x:c r="E6" s="7" t="str">
        <x:v>5.0% FY2027, then 4.7% by FY2031</x:v>
      </x:c>
      <x:c r="F6" s="7" t="str">
        <x:v>New business or retention falls, or payroll employees per client decline</x:v>
      </x:c>
      <x:c r="G6" s="4"/>
      <x:c r="H6" s="4"/>
      <x:c r="I6" s="4"/>
      <x:c r="J6" s="4"/>
      <x:c r="K6" s="4"/>
      <x:c r="L6" s="4"/>
      <x:c r="M6" s="4"/>
    </x:row>
    <x:row r="7" ht="62" customHeight="1">
      <x:c r="A7" s="4"/>
      <x:c r="B7" s="7" t="str">
        <x:v>Employment sensitivity</x:v>
      </x:c>
      <x:c r="C7" s="7" t="str">
        <x:v>Embedded in core and PEO growth</x:v>
      </x:c>
      <x:c r="D7" s="7" t="str">
        <x:v>FY2026 pays per control +1%; FY2027 guide 0%-1%</x:v>
      </x:c>
      <x:c r="E7" s="7" t="str">
        <x:v>No recession in base; downside captures slower employment</x:v>
      </x:c>
      <x:c r="F7" s="7" t="str">
        <x:v>Payrolls contract materially</x:v>
      </x:c>
      <x:c r="G7" s="4"/>
      <x:c r="H7" s="4"/>
      <x:c r="I7" s="4"/>
      <x:c r="J7" s="4"/>
      <x:c r="K7" s="4"/>
      <x:c r="L7" s="4"/>
      <x:c r="M7" s="4"/>
    </x:row>
    <x:row r="8" ht="62" customHeight="1">
      <x:c r="A8" s="4"/>
      <x:c r="B8" s="7" t="str">
        <x:v>Client-funds balance</x:v>
      </x:c>
      <x:c r="C8" s="7" t="str">
        <x:v>Prior average balance × growth</x:v>
      </x:c>
      <x:c r="D8" s="7" t="str">
        <x:v>FY2026 average ~$40.4bn; FY2027 guide +3%-4%</x:v>
      </x:c>
      <x:c r="E8" s="7" t="str">
        <x:v>3.5%-4.0% growth</x:v>
      </x:c>
      <x:c r="F8" s="7" t="str">
        <x:v>Client wage base or payroll timing weakens</x:v>
      </x:c>
      <x:c r="G8" s="4"/>
      <x:c r="H8" s="4"/>
      <x:c r="I8" s="4"/>
      <x:c r="J8" s="4"/>
      <x:c r="K8" s="4"/>
      <x:c r="L8" s="4"/>
      <x:c r="M8" s="4"/>
    </x:row>
    <x:row r="9" ht="62" customHeight="1">
      <x:c r="A9" s="4"/>
      <x:c r="B9" s="7" t="str">
        <x:v>Client-funds yield</x:v>
      </x:c>
      <x:c r="C9" s="7" t="str">
        <x:v>Average balance × yield</x:v>
      </x:c>
      <x:c r="D9" s="7" t="str">
        <x:v>FY2026 ~3.4%; FY2027 guide ~3.7%</x:v>
      </x:c>
      <x:c r="E9" s="7" t="str">
        <x:v>Peaks at 3.8%, then fades to 3.5%</x:v>
      </x:c>
      <x:c r="F9" s="7" t="str">
        <x:v>Rate path or reinvestment ladder differs</x:v>
      </x:c>
      <x:c r="G9" s="4"/>
      <x:c r="H9" s="4"/>
      <x:c r="I9" s="4"/>
      <x:c r="J9" s="4"/>
      <x:c r="K9" s="4"/>
      <x:c r="L9" s="4"/>
      <x:c r="M9" s="4"/>
    </x:row>
    <x:row r="10" ht="62" customHeight="1">
      <x:c r="A10" s="4"/>
      <x:c r="B10" s="7" t="str">
        <x:v>PEO net revenue</x:v>
      </x:c>
      <x:c r="C10" s="7" t="str">
        <x:v>Prior PEO ex pass-through × growth</x:v>
      </x:c>
      <x:c r="D10" s="7" t="str">
        <x:v>FY2026 ex pass-through +5%; FY2027 guide +3%-5%</x:v>
      </x:c>
      <x:c r="E10" s="7" t="str">
        <x:v>4.0%-4.5% growth</x:v>
      </x:c>
      <x:c r="F10" s="7" t="str">
        <x:v>PEO employee growth slows, prices weaken or benefit costs rise</x:v>
      </x:c>
      <x:c r="G10" s="4"/>
      <x:c r="H10" s="4"/>
      <x:c r="I10" s="4"/>
      <x:c r="J10" s="4"/>
      <x:c r="K10" s="4"/>
      <x:c r="L10" s="4"/>
      <x:c r="M10" s="4"/>
    </x:row>
    <x:row r="11" ht="62" customHeight="1">
      <x:c r="A11" s="4"/>
      <x:c r="B11" s="7" t="str">
        <x:v>PEO pass-through</x:v>
      </x:c>
      <x:c r="C11" s="7" t="str">
        <x:v>Modelled separately</x:v>
      </x:c>
      <x:c r="D11" s="7" t="str">
        <x:v>FY2026 reimbursements $4.61bn. FY2027 benefit costs are expected to lift reported revenue growth.</x:v>
      </x:c>
      <x:c r="E11" s="7" t="str">
        <x:v>7.5% FY2027, then 5%</x:v>
      </x:c>
      <x:c r="F11" s="7" t="str">
        <x:v>Benefit-cost inflation or plan mix changes</x:v>
      </x:c>
      <x:c r="G11" s="4"/>
      <x:c r="H11" s="4"/>
      <x:c r="I11" s="4"/>
      <x:c r="J11" s="4"/>
      <x:c r="K11" s="4"/>
      <x:c r="L11" s="4"/>
      <x:c r="M11" s="4"/>
    </x:row>
    <x:row r="12" ht="62" customHeight="1">
      <x:c r="A12" s="4"/>
      <x:c r="B12" s="7" t="str">
        <x:v>Operating margin</x:v>
      </x:c>
      <x:c r="C12" s="7" t="str">
        <x:v>Fee-service revenue × calibrated margin + net client-funds contribution</x:v>
      </x:c>
      <x:c r="D12" s="7" t="str">
        <x:v>Original operating-profit cases are separated into fee-service profit and client-funds contribution. Segment margins are estimates.</x:v>
      </x:c>
      <x:c r="E12" s="7" t="str">
        <x:v>Rises toward 29% as service revenue and client-funds interest grow</x:v>
      </x:c>
      <x:c r="F12" s="7" t="str">
        <x:v>Implementation, acquisition or technology costs rise too quickly</x:v>
      </x:c>
      <x:c r="G12" s="4"/>
      <x:c r="H12" s="4"/>
      <x:c r="I12" s="4"/>
      <x:c r="J12" s="4"/>
      <x:c r="K12" s="4"/>
      <x:c r="L12" s="4"/>
      <x:c r="M12" s="4"/>
    </x:row>
    <x:row r="13" ht="62" customHeight="1">
      <x:c r="A13" s="4"/>
      <x:c r="B13" s="7" t="str">
        <x:v>Capex</x:v>
      </x:c>
      <x:c r="C13" s="7" t="str">
        <x:v>Fee-service revenue × calibrated CapEx ratio</x:v>
      </x:c>
      <x:c r="D13" s="7" t="str">
        <x:v>FY2026 PP&amp;E + intangible additions $665m</x:v>
      </x:c>
      <x:c r="E13" s="7" t="str">
        <x:v>Calibrated to the original CapEx path; includes software capitalization</x:v>
      </x:c>
      <x:c r="F13" s="7" t="str">
        <x:v>Platform investment remains structurally higher</x:v>
      </x:c>
      <x:c r="G13" s="4"/>
      <x:c r="H13" s="4"/>
      <x:c r="I13" s="4"/>
      <x:c r="J13" s="4"/>
      <x:c r="K13" s="4"/>
      <x:c r="L13" s="4"/>
      <x:c r="M13" s="4"/>
    </x:row>
    <x:row r="14" ht="62" customHeight="1">
      <x:c r="A14" s="4"/>
      <x:c r="B14" s="7" t="str">
        <x:v>Ordinary operating NWC</x:v>
      </x:c>
      <x:c r="C14" s="7" t="str">
        <x:v>Core + PEO net revenue × ratio</x:v>
      </x:c>
      <x:c r="D14" s="7" t="str">
        <x:v>Client funds and deferred contract-cost assets are excluded from this ratio. Contracts are rolled separately below.</x:v>
      </x:c>
      <x:c r="E14" s="7" t="str">
        <x:v>−2.5% of corporate operating revenue</x:v>
      </x:c>
      <x:c r="F14" s="7" t="str">
        <x:v>Receivables or vendor timing absorbs cash</x:v>
      </x:c>
      <x:c r="G14" s="4"/>
      <x:c r="H14" s="4"/>
      <x:c r="I14" s="4"/>
      <x:c r="J14" s="4"/>
      <x:c r="K14" s="4"/>
      <x:c r="L14" s="4"/>
      <x:c r="M14" s="4"/>
    </x:row>
    <x:row r="15" ht="62" customHeight="1">
      <x:c r="A15" s="4"/>
      <x:c r="B15" s="7" t="str">
        <x:v>Assumptions after the forecast</x:v>
      </x:c>
      <x:c r="C15" s="7" t="str">
        <x:v>FY2032 NOPAT × (1 − perpetual growth / incremental ROIC)</x:v>
      </x:c>
      <x:c r="D15" s="7" t="str">
        <x:v>Mature recurring business with employment exposure</x:v>
      </x:c>
      <x:c r="E15" s="7" t="str">
        <x:v>2.75% perpetual growth; 25% incremental ROIC</x:v>
      </x:c>
      <x:c r="F15" s="7" t="str">
        <x:v>Growth or margins fail to normalize consistently</x:v>
      </x:c>
      <x:c r="G15" s="4"/>
      <x:c r="H15" s="4"/>
      <x:c r="I15" s="4"/>
      <x:c r="J15" s="4"/>
      <x:c r="K15" s="4"/>
      <x:c r="L15" s="4"/>
      <x:c r="M15" s="4"/>
    </x:row>
    <x:row r="16" ht="62" customHeight="1">
      <x:c r="A16" s="4"/>
      <x:c r="B16" s="134"/>
      <x:c r="C16" s="134"/>
      <x:c r="D16" s="134"/>
      <x:c r="E16" s="134"/>
      <x:c r="F16" s="134"/>
      <x:c r="G16" s="4"/>
      <x:c r="H16" s="4"/>
      <x:c r="I16" s="4"/>
      <x:c r="J16" s="4"/>
      <x:c r="K16" s="4"/>
      <x:c r="L16" s="4"/>
      <x:c r="M16" s="4"/>
    </x:row>
    <x:row r="17" ht="23" customHeight="1">
      <x:c r="A17" s="4"/>
      <x:c r="B17" s="4"/>
      <x:c r="C17" s="4"/>
      <x:c r="D17" s="4"/>
      <x:c r="E17" s="4"/>
      <x:c r="F17" s="4"/>
      <x:c r="G17" s="4"/>
      <x:c r="H17" s="4"/>
      <x:c r="I17" s="4"/>
      <x:c r="J17" s="4"/>
      <x:c r="K17" s="4"/>
      <x:c r="L17" s="4"/>
      <x:c r="M17" s="4"/>
    </x:row>
    <x:row r="18" ht="23" customHeight="1">
      <x:c r="A18" s="4"/>
      <x:c r="B18" s="4"/>
      <x:c r="C18" s="4"/>
      <x:c r="D18" s="4"/>
      <x:c r="E18" s="4"/>
      <x:c r="F18" s="4"/>
      <x:c r="G18" s="4"/>
      <x:c r="H18" s="4"/>
      <x:c r="I18" s="4"/>
      <x:c r="J18" s="4"/>
      <x:c r="K18" s="4"/>
      <x:c r="L18" s="4"/>
      <x:c r="M18" s="4"/>
    </x:row>
    <x:row r="19" ht="28" customHeight="1">
      <x:c r="A19" s="4"/>
      <x:c r="B19" s="7" t="str">
        <x:v>FY2027 Official Guidance Checkpoint</x:v>
      </x:c>
      <x:c r="C19" s="4"/>
      <x:c r="D19" s="4"/>
      <x:c r="E19" s="4"/>
      <x:c r="F19" s="4"/>
      <x:c r="G19" s="4"/>
      <x:c r="H19" s="4"/>
      <x:c r="I19" s="4"/>
      <x:c r="J19" s="4"/>
      <x:c r="K19" s="4"/>
      <x:c r="L19" s="4"/>
      <x:c r="M19" s="4"/>
    </x:row>
    <x:row r="20" ht="23" customHeight="1">
      <x:c r="A20" s="4"/>
      <x:c r="B20" s="6" t="str">
        <x:v>Total revenue growth</x:v>
      </x:c>
      <x:c r="C20" s="6" t="str">
        <x:v>5%-6%</x:v>
      </x:c>
      <x:c r="D20" s="6" t="str">
        <x:v>Adjusted EBIT margin</x:v>
      </x:c>
      <x:c r="E20" s="6" t="str">
        <x:v>+70-90 bps</x:v>
      </x:c>
      <x:c r="F20" s="6" t="str">
        <x:v>A01</x:v>
      </x:c>
      <x:c r="G20" s="4"/>
      <x:c r="H20" s="4"/>
      <x:c r="I20" s="4"/>
      <x:c r="J20" s="4"/>
      <x:c r="K20" s="4"/>
      <x:c r="L20" s="4"/>
      <x:c r="M20" s="4"/>
    </x:row>
    <x:row r="21" ht="23" customHeight="1">
      <x:c r="A21" s="4"/>
      <x:c r="B21" s="6" t="str">
        <x:v>Employer Services growth</x:v>
      </x:c>
      <x:c r="C21" s="6" t="str">
        <x:v>5%-6%</x:v>
      </x:c>
      <x:c r="D21" s="6" t="str">
        <x:v>New bookings growth</x:v>
      </x:c>
      <x:c r="E21" s="6" t="str">
        <x:v>4%-7%</x:v>
      </x:c>
      <x:c r="F21" s="6" t="str">
        <x:v>A01</x:v>
      </x:c>
      <x:c r="G21" s="4"/>
      <x:c r="H21" s="4"/>
      <x:c r="I21" s="4"/>
      <x:c r="J21" s="4"/>
      <x:c r="K21" s="4"/>
      <x:c r="L21" s="4"/>
      <x:c r="M21" s="4"/>
    </x:row>
    <x:row r="22" ht="23" customHeight="1">
      <x:c r="A22" s="4"/>
      <x:c r="B22" s="6" t="str">
        <x:v>Retention</x:v>
      </x:c>
      <x:c r="C22" s="6" t="str">
        <x:v>−10 to −30 bps</x:v>
      </x:c>
      <x:c r="D22" s="6" t="str">
        <x:v>Pays per control</x:v>
      </x:c>
      <x:c r="E22" s="6" t="str">
        <x:v>0%-1%</x:v>
      </x:c>
      <x:c r="F22" s="6" t="str">
        <x:v>A01</x:v>
      </x:c>
      <x:c r="G22" s="4"/>
      <x:c r="H22" s="4"/>
      <x:c r="I22" s="4"/>
      <x:c r="J22" s="4"/>
      <x:c r="K22" s="4"/>
      <x:c r="L22" s="4"/>
      <x:c r="M22" s="4"/>
    </x:row>
    <x:row r="23" ht="23" customHeight="1">
      <x:c r="A23" s="4"/>
      <x:c r="B23" s="6" t="str">
        <x:v>PEO revenue growth</x:v>
      </x:c>
      <x:c r="C23" s="6" t="str">
        <x:v>5%-7%</x:v>
      </x:c>
      <x:c r="D23" s="6" t="str">
        <x:v>PEO ex pass-through</x:v>
      </x:c>
      <x:c r="E23" s="6" t="str">
        <x:v>3%-5%</x:v>
      </x:c>
      <x:c r="F23" s="6" t="str">
        <x:v>A01</x:v>
      </x:c>
      <x:c r="G23" s="4"/>
      <x:c r="H23" s="4"/>
      <x:c r="I23" s="4"/>
      <x:c r="J23" s="4"/>
      <x:c r="K23" s="4"/>
      <x:c r="L23" s="4"/>
      <x:c r="M23" s="4"/>
    </x:row>
    <x:row r="24" ht="23" customHeight="1">
      <x:c r="A24" s="4"/>
      <x:c r="B24" s="6" t="str">
        <x:v>Client-funds balance growth</x:v>
      </x:c>
      <x:c r="C24" s="6" t="str">
        <x:v>3%-4%</x:v>
      </x:c>
      <x:c r="D24" s="6" t="str">
        <x:v>Expected yield</x:v>
      </x:c>
      <x:c r="E24" s="6" t="str">
        <x:v>~3.7%</x:v>
      </x:c>
      <x:c r="F24" s="6" t="str">
        <x:v>A01</x:v>
      </x:c>
      <x:c r="G24" s="4"/>
      <x:c r="H24" s="4"/>
      <x:c r="I24" s="4"/>
      <x:c r="J24" s="4"/>
      <x:c r="K24" s="4"/>
      <x:c r="L24" s="4"/>
      <x:c r="M24" s="4"/>
    </x:row>
    <x:row r="25" ht="23" customHeight="1">
      <x:c r="A25" s="4"/>
      <x:c r="B25" s="6" t="str">
        <x:v>Client-funds interest</x:v>
      </x:c>
      <x:c r="C25" s="6" t="str">
        <x:v>$1.54-$1.56bn</x:v>
      </x:c>
      <x:c r="D25" s="6" t="str">
        <x:v>Tax rate</x:v>
      </x:c>
      <x:c r="E25" s="6" t="str">
        <x:v>~23%</x:v>
      </x:c>
      <x:c r="F25" s="6" t="str">
        <x:v>A01</x:v>
      </x:c>
      <x:c r="G25" s="4"/>
      <x:c r="H25" s="4"/>
      <x:c r="I25" s="4"/>
      <x:c r="J25" s="4"/>
      <x:c r="K25" s="4"/>
      <x:c r="L25" s="4"/>
      <x:c r="M25" s="4"/>
    </x:row>
    <x:row r="26" ht="23" customHeight="1">
      <x:c r="A26" s="4"/>
      <x:c r="B26" s="4"/>
      <x:c r="C26" s="4"/>
      <x:c r="D26" s="4"/>
      <x:c r="E26" s="4"/>
      <x:c r="F26" s="4"/>
      <x:c r="G26" s="4"/>
      <x:c r="H26" s="4"/>
      <x:c r="I26" s="4"/>
      <x:c r="J26" s="4"/>
      <x:c r="K26" s="4"/>
      <x:c r="L26" s="4"/>
      <x:c r="M26" s="4"/>
    </x:row>
    <x:row r="27" ht="23" customHeight="1">
      <x:c r="A27" s="4"/>
      <x:c r="B27" s="4"/>
      <x:c r="C27" s="4"/>
      <x:c r="D27" s="4"/>
      <x:c r="E27" s="4"/>
      <x:c r="F27" s="4"/>
      <x:c r="G27" s="4"/>
      <x:c r="H27" s="4"/>
      <x:c r="I27" s="4"/>
      <x:c r="J27" s="4"/>
      <x:c r="K27" s="4"/>
      <x:c r="L27" s="4"/>
      <x:c r="M27" s="4"/>
    </x:row>
    <x:row r="28" ht="28" customHeight="1">
      <x:c r="A28" s="4"/>
      <x:c r="B28" s="4"/>
      <x:c r="C28" s="4"/>
      <x:c r="D28" s="4"/>
      <x:c r="E28" s="4"/>
      <x:c r="F28" s="4"/>
      <x:c r="G28" s="4"/>
      <x:c r="H28" s="7" t="str">
        <x:v>Deferred contract-cost roll-forward (USDm)</x:v>
      </x:c>
      <x:c r="I28" s="4"/>
      <x:c r="J28" s="4"/>
      <x:c r="K28" s="4"/>
      <x:c r="L28" s="4"/>
      <x:c r="M28" s="4"/>
    </x:row>
    <x:row r="29" ht="23" customHeight="1">
      <x:c r="A29" s="4"/>
      <x:c r="B29" s="4"/>
      <x:c r="C29" s="4"/>
      <x:c r="D29" s="4"/>
      <x:c r="E29" s="4"/>
      <x:c r="F29" s="4"/>
      <x:c r="G29" s="4"/>
      <x:c r="H29" s="6" t="str">
        <x:v>Base case</x:v>
      </x:c>
      <x:c r="I29" s="4"/>
      <x:c r="J29" s="4"/>
      <x:c r="K29" s="4"/>
      <x:c r="L29" s="4"/>
      <x:c r="M29" s="4"/>
    </x:row>
    <x:row r="30" ht="23" customHeight="1">
      <x:c r="A30" s="4"/>
      <x:c r="B30" s="4"/>
      <x:c r="C30" s="4"/>
      <x:c r="D30" s="4"/>
      <x:c r="E30" s="4"/>
      <x:c r="F30" s="4"/>
      <x:c r="G30" s="4"/>
      <x:c r="H30" s="6" t="str">
        <x:v>Fiscal year</x:v>
      </x:c>
      <x:c r="I30" s="99" t="n">
        <x:v>2027</x:v>
      </x:c>
      <x:c r="J30" s="99" t="n">
        <x:v>2028</x:v>
      </x:c>
      <x:c r="K30" s="99" t="n">
        <x:v>2029</x:v>
      </x:c>
      <x:c r="L30" s="99" t="n">
        <x:v>2030</x:v>
      </x:c>
      <x:c r="M30" s="99" t="n">
        <x:v>2031</x:v>
      </x:c>
    </x:row>
    <x:row r="31" ht="28" customHeight="1">
      <x:c r="A31" s="4"/>
      <x:c r="B31" s="4"/>
      <x:c r="C31" s="4"/>
      <x:c r="D31" s="4"/>
      <x:c r="E31" s="4"/>
      <x:c r="F31" s="4"/>
      <x:c r="G31" s="4"/>
      <x:c r="H31" s="7" t="str">
        <x:v>Opening deferred contract-cost asset</x:v>
      </x:c>
      <x:c r="I31" s="101" t="n">
        <x:f>'Assumptions'!$G$11</x:f>
        <x:v>3244.1</x:v>
      </x:c>
      <x:c r="J31" s="97" t="n">
        <x:f>I35</x:f>
        <x:v>3356.7014620932982</x:v>
      </x:c>
      <x:c r="K31" s="97" t="n">
        <x:f>J35</x:f>
        <x:v>3475.320725178758</x:v>
      </x:c>
      <x:c r="L31" s="97" t="n">
        <x:f>K35</x:f>
        <x:v>3600.080275610145</x:v>
      </x:c>
      <x:c r="M31" s="97" t="n">
        <x:f>L35</x:f>
        <x:v>3730.9246759536054</x:v>
      </x:c>
    </x:row>
    <x:row r="32" ht="23" customHeight="1">
      <x:c r="A32" s="4"/>
      <x:c r="B32" s="4"/>
      <x:c r="C32" s="4"/>
      <x:c r="D32" s="4"/>
      <x:c r="E32" s="4"/>
      <x:c r="F32" s="4"/>
      <x:c r="G32" s="4"/>
      <x:c r="H32" s="6" t="str">
        <x:v>Cash additions</x:v>
      </x:c>
      <x:c r="I32" s="101" t="n">
        <x:f>'Assumptions'!$G$10*('Scenarios'!C6+'Scenarios'!C10)/('Assumptions'!$C$13+'Assumptions'!$C$15)</x:f>
        <x:v>1371.242572363359</x:v>
      </x:c>
      <x:c r="J32" s="101" t="n">
        <x:f>'Assumptions'!$G$10*('Scenarios'!D6+'Scenarios'!D10)/('Assumptions'!$C$13+'Assumptions'!$C$15)</x:f>
        <x:v>1444.5263891012366</x:v>
      </x:c>
      <x:c r="K32" s="101" t="n">
        <x:f>'Assumptions'!$G$10*('Scenarios'!E6+'Scenarios'!E10)/('Assumptions'!$C$13+'Assumptions'!$C$15)</x:f>
        <x:v>1519.301825039201</x:v>
      </x:c>
      <x:c r="L32" s="101" t="n">
        <x:f>'Assumptions'!$G$10*('Scenarios'!F6+'Scenarios'!F10)/('Assumptions'!$C$13+'Assumptions'!$C$15)</x:f>
        <x:v>1593.4021527859616</x:v>
      </x:c>
      <x:c r="M32" s="101" t="n">
        <x:f>'Assumptions'!$G$10*('Scenarios'!G6+'Scenarios'!G10)/('Assumptions'!$C$13+'Assumptions'!$C$15)</x:f>
        <x:v>1666.5918558410362</x:v>
      </x:c>
    </x:row>
    <x:row r="33" ht="28" customHeight="1">
      <x:c r="A33" s="4"/>
      <x:c r="B33" s="4"/>
      <x:c r="C33" s="4"/>
      <x:c r="D33" s="4"/>
      <x:c r="E33" s="4"/>
      <x:c r="F33" s="4"/>
      <x:c r="G33" s="4"/>
      <x:c r="H33" s="7" t="str">
        <x:v>Amortization already expensed in EBIT</x:v>
      </x:c>
      <x:c r="I33" s="101" t="n">
        <x:f>'Assumptions'!$G$9*('Scenarios'!C6+'Scenarios'!C10)/('Assumptions'!$C$13+'Assumptions'!$C$15)</x:f>
        <x:v>1258.6411102700606</x:v>
      </x:c>
      <x:c r="J33" s="101" t="n">
        <x:f>'Assumptions'!$G$9*('Scenarios'!D6+'Scenarios'!D10)/('Assumptions'!$C$13+'Assumptions'!$C$15)</x:f>
        <x:v>1325.9071260157768</x:v>
      </x:c>
      <x:c r="K33" s="101" t="n">
        <x:f>'Assumptions'!$G$9*('Scenarios'!E6+'Scenarios'!E10)/('Assumptions'!$C$13+'Assumptions'!$C$15)</x:f>
        <x:v>1394.5422746078143</x:v>
      </x:c>
      <x:c r="L33" s="101" t="n">
        <x:f>'Assumptions'!$G$9*('Scenarios'!F6+'Scenarios'!F10)/('Assumptions'!$C$13+'Assumptions'!$C$15)</x:f>
        <x:v>1462.5577524425007</x:v>
      </x:c>
      <x:c r="M33" s="101" t="n">
        <x:f>'Assumptions'!$G$9*('Scenarios'!G6+'Scenarios'!G10)/('Assumptions'!$C$13+'Assumptions'!$C$15)</x:f>
        <x:v>1529.7373827793897</x:v>
      </x:c>
    </x:row>
    <x:row r="34" ht="23" customHeight="1">
      <x:c r="A34" s="4"/>
      <x:c r="B34" s="4"/>
      <x:c r="C34" s="4"/>
      <x:c r="D34" s="4"/>
      <x:c r="E34" s="4"/>
      <x:c r="F34" s="4"/>
      <x:c r="G34" s="4"/>
      <x:c r="H34" s="6" t="str">
        <x:v>Net cash investment</x:v>
      </x:c>
      <x:c r="I34" s="97" t="n">
        <x:f>I32-I33</x:f>
        <x:v>112.60146209329832</x:v>
      </x:c>
      <x:c r="J34" s="97" t="n">
        <x:f>J32-J33</x:f>
        <x:v>118.6192630854598</x:v>
      </x:c>
      <x:c r="K34" s="97" t="n">
        <x:f>K32-K33</x:f>
        <x:v>124.75955043138674</x:v>
      </x:c>
      <x:c r="L34" s="97" t="n">
        <x:f>L32-L33</x:f>
        <x:v>130.84440034346085</x:v>
      </x:c>
      <x:c r="M34" s="97" t="n">
        <x:f>M32-M33</x:f>
        <x:v>136.85447306164656</x:v>
      </x:c>
    </x:row>
    <x:row r="35" ht="28" customHeight="1">
      <x:c r="A35" s="4"/>
      <x:c r="B35" s="4"/>
      <x:c r="C35" s="4"/>
      <x:c r="D35" s="4"/>
      <x:c r="E35" s="4"/>
      <x:c r="F35" s="4"/>
      <x:c r="G35" s="4"/>
      <x:c r="H35" s="7" t="str">
        <x:v>Closing deferred contract-cost asset</x:v>
      </x:c>
      <x:c r="I35" s="97" t="n">
        <x:f>I31+I34</x:f>
        <x:v>3356.7014620932982</x:v>
      </x:c>
      <x:c r="J35" s="97" t="n">
        <x:f>J31+J34</x:f>
        <x:v>3475.320725178758</x:v>
      </x:c>
      <x:c r="K35" s="97" t="n">
        <x:f>K31+K34</x:f>
        <x:v>3600.080275610145</x:v>
      </x:c>
      <x:c r="L35" s="97" t="n">
        <x:f>L31+L34</x:f>
        <x:v>3730.9246759536054</x:v>
      </x:c>
      <x:c r="M35" s="97" t="n">
        <x:f>M31+M34</x:f>
        <x:v>3867.779149015252</x:v>
      </x:c>
    </x:row>
    <x:row r="36" ht="23" customHeight="1">
      <x:c r="A36" s="4"/>
      <x:c r="B36" s="4"/>
      <x:c r="C36" s="4"/>
      <x:c r="D36" s="4"/>
      <x:c r="E36" s="4"/>
      <x:c r="F36" s="4"/>
      <x:c r="G36" s="4"/>
      <x:c r="H36" s="4"/>
      <x:c r="I36" s="4"/>
      <x:c r="J36" s="4"/>
      <x:c r="K36" s="4"/>
      <x:c r="L36" s="4"/>
      <x:c r="M36" s="4"/>
    </x:row>
    <x:row r="37" ht="23" customHeight="1">
      <x:c r="A37" s="4"/>
      <x:c r="B37" s="4"/>
      <x:c r="C37" s="4"/>
      <x:c r="D37" s="4"/>
      <x:c r="E37" s="4"/>
      <x:c r="F37" s="4"/>
      <x:c r="G37" s="4"/>
      <x:c r="H37" s="4"/>
      <x:c r="I37" s="4"/>
      <x:c r="J37" s="4"/>
      <x:c r="K37" s="4"/>
      <x:c r="L37" s="4"/>
      <x:c r="M37" s="4"/>
    </x:row>
    <x:row r="38" ht="23" customHeight="1">
      <x:c r="A38" s="4"/>
      <x:c r="B38" s="4"/>
      <x:c r="C38" s="4"/>
      <x:c r="D38" s="4"/>
      <x:c r="E38" s="4"/>
      <x:c r="F38" s="4"/>
      <x:c r="G38" s="4"/>
      <x:c r="H38" s="4"/>
      <x:c r="I38" s="4"/>
      <x:c r="J38" s="4"/>
      <x:c r="K38" s="4"/>
      <x:c r="L38" s="4"/>
      <x:c r="M38" s="4"/>
    </x:row>
    <x:row r="39" ht="23" customHeight="1">
      <x:c r="A39" s="4"/>
      <x:c r="B39" s="4"/>
      <x:c r="C39" s="4"/>
      <x:c r="D39" s="4"/>
      <x:c r="E39" s="4"/>
      <x:c r="F39" s="4"/>
      <x:c r="G39" s="4"/>
      <x:c r="H39" s="6" t="str">
        <x:v>Downside</x:v>
      </x:c>
      <x:c r="I39" s="4"/>
      <x:c r="J39" s="4"/>
      <x:c r="K39" s="4"/>
      <x:c r="L39" s="4"/>
      <x:c r="M39" s="4"/>
    </x:row>
    <x:row r="40" ht="23" customHeight="1">
      <x:c r="A40" s="4"/>
      <x:c r="B40" s="4"/>
      <x:c r="C40" s="4"/>
      <x:c r="D40" s="4"/>
      <x:c r="E40" s="4"/>
      <x:c r="F40" s="4"/>
      <x:c r="G40" s="4"/>
      <x:c r="H40" s="6" t="str">
        <x:v>Fiscal year</x:v>
      </x:c>
      <x:c r="I40" s="99" t="n">
        <x:v>2027</x:v>
      </x:c>
      <x:c r="J40" s="99" t="n">
        <x:v>2028</x:v>
      </x:c>
      <x:c r="K40" s="99" t="n">
        <x:v>2029</x:v>
      </x:c>
      <x:c r="L40" s="99" t="n">
        <x:v>2030</x:v>
      </x:c>
      <x:c r="M40" s="99" t="n">
        <x:v>2031</x:v>
      </x:c>
    </x:row>
    <x:row r="41" ht="28" customHeight="1">
      <x:c r="A41" s="4"/>
      <x:c r="B41" s="4"/>
      <x:c r="C41" s="4"/>
      <x:c r="D41" s="4"/>
      <x:c r="E41" s="4"/>
      <x:c r="F41" s="4"/>
      <x:c r="G41" s="4"/>
      <x:c r="H41" s="7" t="str">
        <x:v>Opening deferred contract-cost asset</x:v>
      </x:c>
      <x:c r="I41" s="101" t="n">
        <x:f>'Assumptions'!$G$11</x:f>
        <x:v>3244.1</x:v>
      </x:c>
      <x:c r="J41" s="97" t="n">
        <x:f>I45</x:f>
        <x:v>3355.458924186597</x:v>
      </x:c>
      <x:c r="K41" s="97" t="n">
        <x:f>J45</x:f>
        <x:v>3469.9007531015377</x:v>
      </x:c>
      <x:c r="L41" s="97" t="n">
        <x:f>K45</x:f>
        <x:v>3588.173558733693</x:v>
      </x:c>
      <x:c r="M41" s="97" t="n">
        <x:f>L45</x:f>
        <x:v>3710.9984271139556</x:v>
      </x:c>
    </x:row>
    <x:row r="42" ht="23" customHeight="1">
      <x:c r="A42" s="4"/>
      <x:c r="B42" s="4"/>
      <x:c r="C42" s="4"/>
      <x:c r="D42" s="4"/>
      <x:c r="E42" s="4"/>
      <x:c r="F42" s="4"/>
      <x:c r="G42" s="4"/>
      <x:c r="H42" s="6" t="str">
        <x:v>Cash additions</x:v>
      </x:c>
      <x:c r="I42" s="101" t="n">
        <x:f>'Assumptions'!$G$10*('Scenarios'!C34+'Scenarios'!C38)/('Assumptions'!$C$13+'Assumptions'!$C$15)</x:f>
        <x:v>1356.111144726718</x:v>
      </x:c>
      <x:c r="J42" s="101" t="n">
        <x:f>'Assumptions'!$G$10*('Scenarios'!D34+'Scenarios'!D38)/('Assumptions'!$C$13+'Assumptions'!$C$15)</x:f>
        <x:v>1393.6542647844583</x:v>
      </x:c>
      <x:c r="K42" s="101" t="n">
        <x:f>'Assumptions'!$G$10*('Scenarios'!E34+'Scenarios'!E38)/('Assumptions'!$C$13+'Assumptions'!$C$15)</x:f>
        <x:v>1440.3072857196996</x:v>
      </x:c>
      <x:c r="L42" s="101" t="n">
        <x:f>'Assumptions'!$G$10*('Scenarios'!F34+'Scenarios'!F38)/('Assumptions'!$C$13+'Assumptions'!$C$15)</x:f>
        <x:v>1495.7415768579679</x:v>
      </x:c>
      <x:c r="M42" s="101" t="n">
        <x:f>'Assumptions'!$G$10*('Scenarios'!G34+'Scenarios'!G38)/('Assumptions'!$C$13+'Assumptions'!$C$15)</x:f>
        <x:v>1553.327899633051</x:v>
      </x:c>
    </x:row>
    <x:row r="43" ht="28" customHeight="1">
      <x:c r="A43" s="4"/>
      <x:c r="B43" s="4"/>
      <x:c r="C43" s="4"/>
      <x:c r="D43" s="4"/>
      <x:c r="E43" s="4"/>
      <x:c r="F43" s="4"/>
      <x:c r="G43" s="4"/>
      <x:c r="H43" s="7" t="str">
        <x:v>Amortization already expensed in EBIT</x:v>
      </x:c>
      <x:c r="I43" s="101" t="n">
        <x:f>'Assumptions'!$G$9*('Scenarios'!C34+'Scenarios'!C38)/('Assumptions'!$C$13+'Assumptions'!$C$15)</x:f>
        <x:v>1244.7522205401212</x:v>
      </x:c>
      <x:c r="J43" s="101" t="n">
        <x:f>'Assumptions'!$G$9*('Scenarios'!D34+'Scenarios'!D38)/('Assumptions'!$C$13+'Assumptions'!$C$15)</x:f>
        <x:v>1279.2124358695178</x:v>
      </x:c>
      <x:c r="K43" s="101" t="n">
        <x:f>'Assumptions'!$G$9*('Scenarios'!E34+'Scenarios'!E38)/('Assumptions'!$C$13+'Assumptions'!$C$15)</x:f>
        <x:v>1322.0344800875444</x:v>
      </x:c>
      <x:c r="L43" s="101" t="n">
        <x:f>'Assumptions'!$G$9*('Scenarios'!F34+'Scenarios'!F38)/('Assumptions'!$C$13+'Assumptions'!$C$15)</x:f>
        <x:v>1372.916708477705</x:v>
      </x:c>
      <x:c r="M43" s="101" t="n">
        <x:f>'Assumptions'!$G$9*('Scenarios'!G34+'Scenarios'!G38)/('Assumptions'!$C$13+'Assumptions'!$C$15)</x:f>
        <x:v>1425.7742514790714</x:v>
      </x:c>
    </x:row>
    <x:row r="44" ht="23" customHeight="1">
      <x:c r="A44" s="4"/>
      <x:c r="B44" s="4"/>
      <x:c r="C44" s="4"/>
      <x:c r="D44" s="4"/>
      <x:c r="E44" s="4"/>
      <x:c r="F44" s="4"/>
      <x:c r="G44" s="4"/>
      <x:c r="H44" s="6" t="str">
        <x:v>Net cash investment</x:v>
      </x:c>
      <x:c r="I44" s="97" t="n">
        <x:f>I42-I43</x:f>
        <x:v>111.35892418659682</x:v>
      </x:c>
      <x:c r="J44" s="97" t="n">
        <x:f>J42-J43</x:f>
        <x:v>114.44182891494052</x:v>
      </x:c>
      <x:c r="K44" s="97" t="n">
        <x:f>K42-K43</x:f>
        <x:v>118.27280563215527</x:v>
      </x:c>
      <x:c r="L44" s="97" t="n">
        <x:f>L42-L43</x:f>
        <x:v>122.82486838026284</x:v>
      </x:c>
      <x:c r="M44" s="97" t="n">
        <x:f>M42-M43</x:f>
        <x:v>127.55364815397957</x:v>
      </x:c>
    </x:row>
    <x:row r="45" ht="28" customHeight="1">
      <x:c r="A45" s="4"/>
      <x:c r="B45" s="4"/>
      <x:c r="C45" s="4"/>
      <x:c r="D45" s="4"/>
      <x:c r="E45" s="4"/>
      <x:c r="F45" s="4"/>
      <x:c r="G45" s="4"/>
      <x:c r="H45" s="7" t="str">
        <x:v>Closing deferred contract-cost asset</x:v>
      </x:c>
      <x:c r="I45" s="97" t="n">
        <x:f>I41+I44</x:f>
        <x:v>3355.458924186597</x:v>
      </x:c>
      <x:c r="J45" s="97" t="n">
        <x:f>J41+J44</x:f>
        <x:v>3469.9007531015377</x:v>
      </x:c>
      <x:c r="K45" s="97" t="n">
        <x:f>K41+K44</x:f>
        <x:v>3588.173558733693</x:v>
      </x:c>
      <x:c r="L45" s="97" t="n">
        <x:f>L41+L44</x:f>
        <x:v>3710.9984271139556</x:v>
      </x:c>
      <x:c r="M45" s="97" t="n">
        <x:f>M41+M44</x:f>
        <x:v>3838.552075267935</x:v>
      </x:c>
    </x:row>
    <x:row r="46" ht="23" customHeight="1">
      <x:c r="A46" s="4"/>
      <x:c r="B46" s="4"/>
      <x:c r="C46" s="4"/>
      <x:c r="D46" s="4"/>
      <x:c r="E46" s="4"/>
      <x:c r="F46" s="4"/>
      <x:c r="G46" s="4"/>
      <x:c r="H46" s="4"/>
      <x:c r="I46" s="4"/>
      <x:c r="J46" s="4"/>
      <x:c r="K46" s="4"/>
      <x:c r="L46" s="4"/>
      <x:c r="M46" s="4"/>
    </x:row>
    <x:row r="47" ht="23" customHeight="1">
      <x:c r="A47" s="4"/>
      <x:c r="B47" s="4"/>
      <x:c r="C47" s="4"/>
      <x:c r="D47" s="4"/>
      <x:c r="E47" s="4"/>
      <x:c r="F47" s="4"/>
      <x:c r="G47" s="4"/>
      <x:c r="H47" s="4"/>
      <x:c r="I47" s="4"/>
      <x:c r="J47" s="4"/>
      <x:c r="K47" s="4"/>
      <x:c r="L47" s="4"/>
      <x:c r="M47" s="4"/>
    </x:row>
    <x:row r="48" ht="23" customHeight="1">
      <x:c r="A48" s="4"/>
      <x:c r="B48" s="4"/>
      <x:c r="C48" s="4"/>
      <x:c r="D48" s="4"/>
      <x:c r="E48" s="4"/>
      <x:c r="F48" s="4"/>
      <x:c r="G48" s="4"/>
      <x:c r="H48" s="4"/>
      <x:c r="I48" s="4"/>
      <x:c r="J48" s="4"/>
      <x:c r="K48" s="4"/>
      <x:c r="L48" s="4"/>
      <x:c r="M48" s="4"/>
    </x:row>
    <x:row r="49" ht="23" customHeight="1">
      <x:c r="A49" s="4"/>
      <x:c r="B49" s="4"/>
      <x:c r="C49" s="4"/>
      <x:c r="D49" s="4"/>
      <x:c r="E49" s="4"/>
      <x:c r="F49" s="4"/>
      <x:c r="G49" s="4"/>
      <x:c r="H49" s="6" t="str">
        <x:v>Upside</x:v>
      </x:c>
      <x:c r="I49" s="4"/>
      <x:c r="J49" s="4"/>
      <x:c r="K49" s="4"/>
      <x:c r="L49" s="4"/>
      <x:c r="M49" s="4"/>
    </x:row>
    <x:row r="50" ht="23" customHeight="1">
      <x:c r="A50" s="4"/>
      <x:c r="B50" s="4"/>
      <x:c r="C50" s="4"/>
      <x:c r="D50" s="4"/>
      <x:c r="E50" s="4"/>
      <x:c r="F50" s="4"/>
      <x:c r="G50" s="4"/>
      <x:c r="H50" s="6" t="str">
        <x:v>Fiscal year</x:v>
      </x:c>
      <x:c r="I50" s="99" t="n">
        <x:v>2027</x:v>
      </x:c>
      <x:c r="J50" s="99" t="n">
        <x:v>2028</x:v>
      </x:c>
      <x:c r="K50" s="99" t="n">
        <x:v>2029</x:v>
      </x:c>
      <x:c r="L50" s="99" t="n">
        <x:v>2030</x:v>
      </x:c>
      <x:c r="M50" s="99" t="n">
        <x:v>2031</x:v>
      </x:c>
    </x:row>
    <x:row r="51" ht="28" customHeight="1">
      <x:c r="A51" s="4"/>
      <x:c r="B51" s="4"/>
      <x:c r="C51" s="4"/>
      <x:c r="D51" s="4"/>
      <x:c r="E51" s="4"/>
      <x:c r="F51" s="4"/>
      <x:c r="G51" s="4"/>
      <x:c r="H51" s="7" t="str">
        <x:v>Opening deferred contract-cost asset</x:v>
      </x:c>
      <x:c r="I51" s="101" t="n">
        <x:f>'Assumptions'!$G$11</x:f>
        <x:v>3244.1</x:v>
      </x:c>
      <x:c r="J51" s="97" t="n">
        <x:f>I55</x:f>
        <x:v>3357.7754620932983</x:v>
      </x:c>
      <x:c r="K51" s="97" t="n">
        <x:f>J55</x:f>
        <x:v>3478.751346821643</x:v>
      </x:c>
      <x:c r="L51" s="97" t="n">
        <x:f>K55</x:f>
        <x:v>3606.8919932886083</x:v>
      </x:c>
      <x:c r="M51" s="97" t="n">
        <x:f>L55</x:f>
        <x:v>3742.3064774601635</x:v>
      </x:c>
    </x:row>
    <x:row r="52" ht="23" customHeight="1">
      <x:c r="A52" s="4"/>
      <x:c r="B52" s="4"/>
      <x:c r="C52" s="4"/>
      <x:c r="D52" s="4"/>
      <x:c r="E52" s="4"/>
      <x:c r="F52" s="4"/>
      <x:c r="G52" s="4"/>
      <x:c r="H52" s="6" t="str">
        <x:v>Cash additions</x:v>
      </x:c>
      <x:c r="I52" s="101" t="n">
        <x:f>'Assumptions'!$G$10*('Scenarios'!C62+'Scenarios'!C66)/('Assumptions'!$C$13+'Assumptions'!$C$15)</x:f>
        <x:v>1384.3215723633589</x:v>
      </x:c>
      <x:c r="J52" s="101" t="n">
        <x:f>'Assumptions'!$G$10*('Scenarios'!D62+'Scenarios'!D66)/('Assumptions'!$C$13+'Assumptions'!$C$15)</x:f>
        <x:v>1473.2249500577407</x:v>
      </x:c>
      <x:c r="K52" s="101" t="n">
        <x:f>'Assumptions'!$G$10*('Scenarios'!E62+'Scenarios'!E66)/('Assumptions'!$C$13+'Assumptions'!$C$15)</x:f>
        <x:v>1560.4762710814146</x:v>
      </x:c>
      <x:c r="L52" s="101" t="n">
        <x:f>'Assumptions'!$G$10*('Scenarios'!F62+'Scenarios'!F66)/('Assumptions'!$C$13+'Assumptions'!$C$15)</x:f>
        <x:v>1649.0559017502496</x:v>
      </x:c>
      <x:c r="M52" s="101" t="n">
        <x:f>'Assumptions'!$G$10*('Scenarios'!G62+'Scenarios'!G66)/('Assumptions'!$C$13+'Assumptions'!$C$15)</x:f>
        <x:v>1737.9826327282549</x:v>
      </x:c>
    </x:row>
    <x:row r="53" ht="28" customHeight="1">
      <x:c r="A53" s="4"/>
      <x:c r="B53" s="4"/>
      <x:c r="C53" s="4"/>
      <x:c r="D53" s="4"/>
      <x:c r="E53" s="4"/>
      <x:c r="F53" s="4"/>
      <x:c r="G53" s="4"/>
      <x:c r="H53" s="7" t="str">
        <x:v>Amortization already expensed in EBIT</x:v>
      </x:c>
      <x:c r="I53" s="101" t="n">
        <x:f>'Assumptions'!$G$9*('Scenarios'!C62+'Scenarios'!C66)/('Assumptions'!$C$13+'Assumptions'!$C$15)</x:f>
        <x:v>1270.6461102700607</x:v>
      </x:c>
      <x:c r="J53" s="101" t="n">
        <x:f>'Assumptions'!$G$9*('Scenarios'!D62+'Scenarios'!D66)/('Assumptions'!$C$13+'Assumptions'!$C$15)</x:f>
        <x:v>1352.2490653293962</x:v>
      </x:c>
      <x:c r="K53" s="101" t="n">
        <x:f>'Assumptions'!$G$9*('Scenarios'!E62+'Scenarios'!E66)/('Assumptions'!$C$13+'Assumptions'!$C$15)</x:f>
        <x:v>1432.335624614449</x:v>
      </x:c>
      <x:c r="L53" s="101" t="n">
        <x:f>'Assumptions'!$G$9*('Scenarios'!F62+'Scenarios'!F66)/('Assumptions'!$C$13+'Assumptions'!$C$15)</x:f>
        <x:v>1513.6414175786945</x:v>
      </x:c>
      <x:c r="M53" s="101" t="n">
        <x:f>'Assumptions'!$G$9*('Scenarios'!G62+'Scenarios'!G66)/('Assumptions'!$C$13+'Assumptions'!$C$15)</x:f>
        <x:v>1595.2658082347807</x:v>
      </x:c>
    </x:row>
    <x:row r="54" ht="23" customHeight="1">
      <x:c r="A54" s="4"/>
      <x:c r="B54" s="4"/>
      <x:c r="C54" s="4"/>
      <x:c r="D54" s="4"/>
      <x:c r="E54" s="4"/>
      <x:c r="F54" s="4"/>
      <x:c r="G54" s="4"/>
      <x:c r="H54" s="6" t="str">
        <x:v>Net cash investment</x:v>
      </x:c>
      <x:c r="I54" s="97" t="n">
        <x:f>I52-I53</x:f>
        <x:v>113.67546209329817</x:v>
      </x:c>
      <x:c r="J54" s="97" t="n">
        <x:f>J52-J53</x:f>
        <x:v>120.97588472834445</x:v>
      </x:c>
      <x:c r="K54" s="97" t="n">
        <x:f>K52-K53</x:f>
        <x:v>128.14064646696556</x:v>
      </x:c>
      <x:c r="L54" s="97" t="n">
        <x:f>L52-L53</x:f>
        <x:v>135.41448417155516</x:v>
      </x:c>
      <x:c r="M54" s="97" t="n">
        <x:f>M52-M53</x:f>
        <x:v>142.71682449347418</x:v>
      </x:c>
    </x:row>
    <x:row r="55" ht="28" customHeight="1">
      <x:c r="A55" s="4"/>
      <x:c r="B55" s="4"/>
      <x:c r="C55" s="4"/>
      <x:c r="D55" s="4"/>
      <x:c r="E55" s="4"/>
      <x:c r="F55" s="4"/>
      <x:c r="G55" s="4"/>
      <x:c r="H55" s="7" t="str">
        <x:v>Closing deferred contract-cost asset</x:v>
      </x:c>
      <x:c r="I55" s="97" t="n">
        <x:f>I51+I54</x:f>
        <x:v>3357.7754620932983</x:v>
      </x:c>
      <x:c r="J55" s="97" t="n">
        <x:f>J51+J54</x:f>
        <x:v>3478.751346821643</x:v>
      </x:c>
      <x:c r="K55" s="97" t="n">
        <x:f>K51+K54</x:f>
        <x:v>3606.8919932886083</x:v>
      </x:c>
      <x:c r="L55" s="97" t="n">
        <x:f>L51+L54</x:f>
        <x:v>3742.3064774601635</x:v>
      </x:c>
      <x:c r="M55" s="97" t="n">
        <x:f>M51+M54</x:f>
        <x:v>3885.0233019536377</x:v>
      </x:c>
    </x:row>
    <x:row r="56" ht="23" customHeight="1">
      <x:c r="A56" s="4"/>
      <x:c r="B56" s="4"/>
      <x:c r="C56" s="4"/>
      <x:c r="D56" s="4"/>
      <x:c r="E56" s="4"/>
      <x:c r="F56" s="4"/>
      <x:c r="G56" s="4"/>
      <x:c r="H56" s="4"/>
      <x:c r="I56" s="4"/>
      <x:c r="J56" s="4"/>
      <x:c r="K56" s="4"/>
      <x:c r="L56" s="4"/>
      <x:c r="M56" s="4"/>
    </x:row>
    <x:row r="57" ht="23" customHeight="1">
      <x:c r="A57" s="4"/>
      <x:c r="B57" s="4"/>
      <x:c r="C57" s="4"/>
      <x:c r="D57" s="4"/>
      <x:c r="E57" s="4"/>
      <x:c r="F57" s="4"/>
      <x:c r="G57" s="4"/>
      <x:c r="H57" s="4"/>
      <x:c r="I57" s="4"/>
      <x:c r="J57" s="4"/>
      <x:c r="K57" s="4"/>
      <x:c r="L57" s="4"/>
      <x:c r="M57" s="4"/>
    </x:row>
    <x:row r="58" ht="24" customHeight="1">
      <x:c r="A58" s="4"/>
      <x:c r="B58" s="4"/>
      <x:c r="C58" s="4"/>
      <x:c r="D58" s="4"/>
      <x:c r="E58" s="4"/>
      <x:c r="F58" s="4"/>
      <x:c r="G58" s="4"/>
      <x:c r="H58" s="44" t="str">
        <x:v>Additions and amortization scale with core HCM + net PEO revenue at FY2026 ratios. No FX, acquisitions or asset disposals are</x:v>
      </x:c>
      <x:c r="I58" s="26"/>
      <x:c r="J58" s="26"/>
      <x:c r="K58" s="26"/>
      <x:c r="L58" s="26"/>
      <x:c r="M58" s="26"/>
    </x:row>
    <x:row r="59" ht="24" customHeight="1">
      <x:c r="A59" s="4"/>
      <x:c r="B59" s="4"/>
      <x:c r="C59" s="4"/>
      <x:c r="D59" s="4"/>
      <x:c r="E59" s="4"/>
      <x:c r="F59" s="4"/>
      <x:c r="G59" s="4"/>
      <x:c r="H59" s="45" t="str">
        <x:v>assumed in this projection. Net additions enter the change in operating capital once.</x:v>
      </x:c>
      <x:c r="I59" s="4"/>
      <x:c r="J59" s="4"/>
      <x:c r="K59" s="4"/>
      <x:c r="L59" s="4"/>
      <x:c r="M59" s="4"/>
    </x:row>
    <x:row r="60" ht="23" customHeight="1">
      <x:c r="A60" s="4"/>
      <x:c r="B60" s="4"/>
      <x:c r="C60" s="4"/>
      <x:c r="D60" s="4"/>
      <x:c r="E60" s="4"/>
      <x:c r="F60" s="4"/>
      <x:c r="G60" s="4"/>
      <x:c r="H60" s="4"/>
      <x:c r="I60" s="4"/>
      <x:c r="J60" s="4"/>
      <x:c r="K60" s="4"/>
      <x:c r="L60" s="4"/>
      <x:c r="M60" s="4"/>
    </x:row>
    <x:row r="61" ht="23" customHeight="1">
      <x:c r="A61" s="4"/>
      <x:c r="B61" s="4"/>
      <x:c r="C61" s="4"/>
      <x:c r="D61" s="4"/>
      <x:c r="E61" s="4"/>
      <x:c r="F61" s="4"/>
      <x:c r="G61" s="4"/>
      <x:c r="H61" s="4"/>
      <x:c r="I61" s="4"/>
      <x:c r="J61" s="4"/>
      <x:c r="K61" s="4"/>
      <x:c r="L61" s="4"/>
      <x:c r="M61" s="4"/>
    </x:row>
    <x:row r="62" ht="24" customHeight="1">
      <x:c r="A62" s="4"/>
      <x:c r="B62" s="4"/>
      <x:c r="C62" s="4"/>
      <x:c r="D62" s="4"/>
      <x:c r="E62" s="4"/>
      <x:c r="F62" s="4"/>
      <x:c r="G62" s="4"/>
      <x:c r="H62" s="44" t="str">
        <x:v>Terminal cash flow uses NOPAT less required reinvestment at the selected growth rate and ROIC. The explicit contract-cost</x:v>
      </x:c>
      <x:c r="I62" s="26"/>
      <x:c r="J62" s="26"/>
      <x:c r="K62" s="26"/>
      <x:c r="L62" s="26"/>
      <x:c r="M62" s="26"/>
    </x:row>
    <x:row r="63" ht="24" customHeight="1">
      <x:c r="A63" s="4"/>
      <x:c r="B63" s="4"/>
      <x:c r="C63" s="4"/>
      <x:c r="D63" s="4"/>
      <x:c r="E63" s="4"/>
      <x:c r="F63" s="4"/>
      <x:c r="G63" s="4"/>
      <x:c r="H63" s="45" t="str">
        <x:v>asset rollforward is not extrapolated as the entire perpetual investment requirement.</x:v>
      </x:c>
      <x:c r="I63" s="4"/>
      <x:c r="J63" s="4"/>
      <x:c r="K63" s="4"/>
      <x:c r="L63" s="4"/>
      <x:c r="M63" s="4"/>
    </x:row>
    <x:row r="64" ht="23" customHeight="1">
      <x:c r="A64" s="4"/>
      <x:c r="B64" s="4"/>
      <x:c r="C64" s="4"/>
      <x:c r="D64" s="4"/>
      <x:c r="E64" s="4"/>
      <x:c r="F64" s="4"/>
      <x:c r="G64" s="4"/>
      <x:c r="H64" s="4"/>
      <x:c r="I64" s="4"/>
      <x:c r="J64" s="4"/>
      <x:c r="K64" s="4"/>
      <x:c r="L64" s="4"/>
      <x:c r="M64" s="4"/>
    </x:row>
    <x:row r="65" ht="23" customHeight="1">
      <x:c r="A65" s="4"/>
      <x:c r="B65" s="4"/>
      <x:c r="C65" s="4"/>
      <x:c r="D65" s="4"/>
      <x:c r="E65" s="4"/>
      <x:c r="F65" s="4"/>
      <x:c r="G65" s="4"/>
      <x:c r="H65" s="4"/>
      <x:c r="I65" s="4"/>
      <x:c r="J65" s="4"/>
      <x:c r="K65" s="4"/>
      <x:c r="L65" s="4"/>
      <x:c r="M65" s="4"/>
    </x:row>
  </x:sheetData>
  <x:pageMargins left="0.7" right="0.7" top="0.75" bottom="0.75" header="0.3" footer="0.3"/>
</x:worksheet>
</file>

<file path=xl/worksheets/sheet7.xml><?xml version="1.0" encoding="utf-8"?>
<x:worksheet xmlns:x="http://schemas.openxmlformats.org/spreadsheetml/2006/main">
  <x:sheetPr>
    <x:tabColor rgb="FFC8D1D8"/>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ht="31" customHeight="1">
      <x:c r="A1" s="6"/>
      <x:c r="B1" s="22" t="str">
        <x:v>ADP, Scenario Calculations</x:v>
      </x:c>
      <x:c r="C1" s="22"/>
      <x:c r="D1" s="22"/>
      <x:c r="E1" s="22"/>
      <x:c r="F1" s="22"/>
      <x:c r="G1" s="22"/>
      <x:c r="H1" s="22"/>
      <x:c r="I1" s="22"/>
      <x:c r="J1" s="22"/>
      <x:c r="K1" s="22"/>
      <x:c r="L1" s="22"/>
      <x:c r="M1" s="22"/>
      <x:c r="N1" s="22"/>
      <x:c r="O1" s="22"/>
    </x:row>
    <x:row r="2" ht="34" customHeight="1">
      <x:c r="A2" s="7"/>
      <x:c r="B2" s="26" t="str">
        <x:v>Base, downside and upside forecasts for five years</x:v>
      </x:c>
      <x:c r="C2" s="26"/>
      <x:c r="D2" s="26"/>
      <x:c r="E2" s="26"/>
      <x:c r="F2" s="26"/>
      <x:c r="G2" s="26"/>
      <x:c r="H2" s="26"/>
      <x:c r="I2" s="26"/>
      <x:c r="J2" s="26"/>
      <x:c r="K2" s="26"/>
      <x:c r="L2" s="26"/>
      <x:c r="M2" s="26"/>
      <x:c r="N2" s="26"/>
      <x:c r="O2" s="26"/>
    </x:row>
    <x:row r="3" ht="23" customHeight="1">
      <x:c r="A3" s="4"/>
      <x:c r="B3" s="4"/>
      <x:c r="C3" s="4"/>
      <x:c r="D3" s="4"/>
      <x:c r="E3" s="4"/>
      <x:c r="F3" s="4"/>
      <x:c r="G3" s="4"/>
      <x:c r="H3" s="4"/>
      <x:c r="I3" s="4"/>
      <x:c r="J3" s="4"/>
      <x:c r="K3" s="4"/>
      <x:c r="L3" s="4"/>
      <x:c r="M3" s="4"/>
      <x:c r="N3" s="4"/>
      <x:c r="O3" s="4"/>
    </x:row>
    <x:row r="4" ht="23" customHeight="1">
      <x:c r="A4" s="4"/>
      <x:c r="B4" s="6" t="str">
        <x:v>Base Case</x:v>
      </x:c>
      <x:c r="C4" s="4"/>
      <x:c r="D4" s="4"/>
      <x:c r="E4" s="4"/>
      <x:c r="F4" s="4"/>
      <x:c r="G4" s="4"/>
      <x:c r="H4" s="4"/>
      <x:c r="I4" s="4"/>
      <x:c r="J4" s="4"/>
      <x:c r="K4" s="4"/>
      <x:c r="L4" s="4"/>
      <x:c r="M4" s="4"/>
      <x:c r="N4" s="6" t="str">
        <x:v>Base Case Valuation</x:v>
      </x:c>
      <x:c r="O4" s="4"/>
    </x:row>
    <x:row r="5" ht="34" customHeight="1">
      <x:c r="A5" s="4"/>
      <x:c r="B5" s="40" t="str">
        <x:v>Metric</x:v>
      </x:c>
      <x:c r="C5" s="40" t="str">
        <x:v>FY2027E</x:v>
      </x:c>
      <x:c r="D5" s="40" t="str">
        <x:v>FY2028E</x:v>
      </x:c>
      <x:c r="E5" s="40" t="str">
        <x:v>FY2029E</x:v>
      </x:c>
      <x:c r="F5" s="40" t="str">
        <x:v>FY2030E</x:v>
      </x:c>
      <x:c r="G5" s="40" t="str">
        <x:v>FY2031E</x:v>
      </x:c>
      <x:c r="H5" s="42"/>
      <x:c r="I5" s="42"/>
      <x:c r="J5" s="42"/>
      <x:c r="K5" s="42"/>
      <x:c r="L5" s="42"/>
      <x:c r="M5" s="42"/>
      <x:c r="N5" s="42"/>
      <x:c r="O5" s="42"/>
    </x:row>
    <x:row r="6" ht="23" customHeight="1">
      <x:c r="A6" s="4"/>
      <x:c r="B6" s="6" t="str">
        <x:v>Core HCM revenue</x:v>
      </x:c>
      <x:c r="C6" s="101" t="n">
        <x:f>'Assumptions'!$C$13*(1+'Assumptions'!C34)</x:f>
        <x:v>14150.64</x:v>
      </x:c>
      <x:c r="D6" s="101" t="n">
        <x:f>C6*(1+'Assumptions'!D34)</x:f>
        <x:v>14928.925199999998</x:v>
      </x:c>
      <x:c r="E6" s="101" t="n">
        <x:f>D6*(1+'Assumptions'!E34)</x:f>
        <x:v>15720.158235599996</x:v>
      </x:c>
      <x:c r="F6" s="101" t="n">
        <x:f>E6*(1+'Assumptions'!F34)</x:f>
        <x:v>16506.166147379998</x:v>
      </x:c>
      <x:c r="G6" s="101" t="n">
        <x:f>F6*(1+'Assumptions'!G34)</x:f>
        <x:v>17281.955956306858</x:v>
      </x:c>
      <x:c r="H6" s="4"/>
      <x:c r="I6" s="4"/>
      <x:c r="J6" s="4"/>
      <x:c r="K6" s="4"/>
      <x:c r="L6" s="4"/>
      <x:c r="M6" s="4"/>
      <x:c r="N6" s="6" t="str">
        <x:v>PV explicit FCFF</x:v>
      </x:c>
      <x:c r="O6" s="97" t="n">
        <x:f>SUM(C24:G24)</x:f>
        <x:v>21108.940753414405</x:v>
      </x:c>
    </x:row>
    <x:row r="7" ht="23" customHeight="1">
      <x:c r="A7" s="4"/>
      <x:c r="B7" s="6" t="str">
        <x:v>Average client-funds balance</x:v>
      </x:c>
      <x:c r="C7" s="101" t="n">
        <x:f>'Assumptions'!$C$14*(1+'Assumptions'!C35)</x:f>
        <x:v>41814</x:v>
      </x:c>
      <x:c r="D7" s="101" t="n">
        <x:f>C7*(1+'Assumptions'!D35)</x:f>
        <x:v>43486.560000000005</x:v>
      </x:c>
      <x:c r="E7" s="101" t="n">
        <x:f>D7*(1+'Assumptions'!E35)</x:f>
        <x:v>45226.02240000001</x:v>
      </x:c>
      <x:c r="F7" s="101" t="n">
        <x:f>E7*(1+'Assumptions'!F35)</x:f>
        <x:v>47035.06329600001</x:v>
      </x:c>
      <x:c r="G7" s="101" t="n">
        <x:f>F7*(1+'Assumptions'!G35)</x:f>
        <x:v>48916.46582784001</x:v>
      </x:c>
      <x:c r="H7" s="4"/>
      <x:c r="I7" s="4"/>
      <x:c r="J7" s="4"/>
      <x:c r="K7" s="4"/>
      <x:c r="L7" s="4"/>
      <x:c r="M7" s="4"/>
      <x:c r="N7" s="6" t="str">
        <x:v>Terminal growth</x:v>
      </x:c>
      <x:c r="O7" s="133" t="n">
        <x:f>'Assumptions'!$C$21</x:f>
        <x:v>0.0275</x:v>
      </x:c>
    </x:row>
    <x:row r="8" ht="23" customHeight="1">
      <x:c r="A8" s="4"/>
      <x:c r="B8" s="6" t="str">
        <x:v>Client-funds yield</x:v>
      </x:c>
      <x:c r="C8" s="133" t="n">
        <x:f>'Assumptions'!C36</x:f>
        <x:v>0.037</x:v>
      </x:c>
      <x:c r="D8" s="133" t="n">
        <x:f>'Assumptions'!D36</x:f>
        <x:v>0.038</x:v>
      </x:c>
      <x:c r="E8" s="133" t="n">
        <x:f>'Assumptions'!E36</x:f>
        <x:v>0.037</x:v>
      </x:c>
      <x:c r="F8" s="133" t="n">
        <x:f>'Assumptions'!F36</x:f>
        <x:v>0.036</x:v>
      </x:c>
      <x:c r="G8" s="133" t="n">
        <x:f>'Assumptions'!G36</x:f>
        <x:v>0.035</x:v>
      </x:c>
      <x:c r="H8" s="4"/>
      <x:c r="I8" s="4"/>
      <x:c r="J8" s="4"/>
      <x:c r="K8" s="4"/>
      <x:c r="L8" s="4"/>
      <x:c r="M8" s="4"/>
      <x:c r="N8" s="6" t="str">
        <x:v>WACC</x:v>
      </x:c>
      <x:c r="O8" s="133" t="n">
        <x:f>'Assumptions'!$C$20</x:f>
        <x:v>0.0799555263113942</x:v>
      </x:c>
    </x:row>
    <x:row r="9" ht="23" customHeight="1">
      <x:c r="A9" s="4"/>
      <x:c r="B9" s="6" t="str">
        <x:v>Client-funds interest</x:v>
      </x:c>
      <x:c r="C9" s="97" t="n">
        <x:f>C7*C8</x:f>
        <x:v>1547.118</x:v>
      </x:c>
      <x:c r="D9" s="97" t="n">
        <x:f>D7*D8</x:f>
        <x:v>1652.4892800000002</x:v>
      </x:c>
      <x:c r="E9" s="97" t="n">
        <x:f>E7*E8</x:f>
        <x:v>1673.3628288000002</x:v>
      </x:c>
      <x:c r="F9" s="97" t="n">
        <x:f>F7*F8</x:f>
        <x:v>1693.262278656</x:v>
      </x:c>
      <x:c r="G9" s="97" t="n">
        <x:f>G7*G8</x:f>
        <x:v>1712.0763039744004</x:v>
      </x:c>
      <x:c r="H9" s="4"/>
      <x:c r="I9" s="4"/>
      <x:c r="J9" s="4"/>
      <x:c r="K9" s="4"/>
      <x:c r="L9" s="4"/>
      <x:c r="M9" s="4"/>
      <x:c r="N9" s="6" t="str">
        <x:v>Final explicit-year FCFF</x:v>
      </x:c>
      <x:c r="O9" s="97" t="n">
        <x:f>G22</x:f>
        <x:v>6095.290323287545</x:v>
      </x:c>
    </x:row>
    <x:row r="10" ht="23" customHeight="1">
      <x:c r="A10" s="4"/>
      <x:c r="B10" s="6" t="str">
        <x:v>PEO revenue ex pass-through</x:v>
      </x:c>
      <x:c r="C10" s="101" t="n">
        <x:f>'Assumptions'!$C$15*(1+'Assumptions'!C37)</x:f>
        <x:v>2608.84</x:v>
      </x:c>
      <x:c r="D10" s="101" t="n">
        <x:f>C10*(1+'Assumptions'!D37)</x:f>
        <x:v>2726.2378</x:v>
      </x:c>
      <x:c r="E10" s="101" t="n">
        <x:f>D10*(1+'Assumptions'!E37)</x:f>
        <x:v>2848.9185009999997</x:v>
      </x:c>
      <x:c r="F10" s="101" t="n">
        <x:f>E10*(1+'Assumptions'!F37)</x:f>
        <x:v>2968.573078042</x:v>
      </x:c>
      <x:c r="G10" s="101" t="n">
        <x:f>F10*(1+'Assumptions'!G37)</x:f>
        <x:v>3087.31600116368</x:v>
      </x:c>
      <x:c r="H10" s="4"/>
      <x:c r="I10" s="4"/>
      <x:c r="J10" s="4"/>
      <x:c r="K10" s="4"/>
      <x:c r="L10" s="4"/>
      <x:c r="M10" s="4"/>
      <x:c r="N10" s="6" t="str">
        <x:v>Terminal value</x:v>
      </x:c>
      <x:c r="O10" s="97" t="n">
        <x:f>IF(O8&gt;O7,O27/(O8-O7),"INPUT REQUIRED: WACC must exceed growth")</x:f>
        <x:v>109731.45349796905</x:v>
      </x:c>
    </x:row>
    <x:row r="11" ht="23" customHeight="1">
      <x:c r="A11" s="4"/>
      <x:c r="B11" s="6" t="str">
        <x:v>PEO pass-through revenue</x:v>
      </x:c>
      <x:c r="C11" s="101" t="n">
        <x:f>'Assumptions'!$C$16*(1+'Assumptions'!C38)</x:f>
        <x:v>4952.8475</x:v>
      </x:c>
      <x:c r="D11" s="101" t="n">
        <x:f>C11*(1+'Assumptions'!D38)</x:f>
        <x:v>5250.01835</x:v>
      </x:c>
      <x:c r="E11" s="101" t="n">
        <x:f>D11*(1+'Assumptions'!E38)</x:f>
        <x:v>5538.76935925</x:v>
      </x:c>
      <x:c r="F11" s="101" t="n">
        <x:f>E11*(1+'Assumptions'!F38)</x:f>
        <x:v>5815.7078272125</x:v>
      </x:c>
      <x:c r="G11" s="101" t="n">
        <x:f>F11*(1+'Assumptions'!G38)</x:f>
        <x:v>6106.493218573125</x:v>
      </x:c>
      <x:c r="H11" s="4"/>
      <x:c r="I11" s="4"/>
      <x:c r="J11" s="4"/>
      <x:c r="K11" s="4"/>
      <x:c r="L11" s="4"/>
      <x:c r="M11" s="4"/>
      <x:c r="N11" s="6" t="str">
        <x:v>PV terminal value</x:v>
      </x:c>
      <x:c r="O11" s="97" t="n">
        <x:f>O10*G23</x:f>
        <x:v>75249.75301181196</x:v>
      </x:c>
    </x:row>
    <x:row r="12" ht="23" customHeight="1">
      <x:c r="A12" s="4"/>
      <x:c r="B12" s="6" t="str">
        <x:v>Total revenue</x:v>
      </x:c>
      <x:c r="C12" s="97" t="n">
        <x:f>SUM(C6,C9:C11)</x:f>
        <x:v>23259.4455</x:v>
      </x:c>
      <x:c r="D12" s="97" t="n">
        <x:f>SUM(D6,D9:D11)</x:f>
        <x:v>24557.67063</x:v>
      </x:c>
      <x:c r="E12" s="97" t="n">
        <x:f>SUM(E6,E9:E11)</x:f>
        <x:v>25781.208924649996</x:v>
      </x:c>
      <x:c r="F12" s="97" t="n">
        <x:f>SUM(F6,F9:F11)</x:f>
        <x:v>26983.709331290498</x:v>
      </x:c>
      <x:c r="G12" s="97" t="n">
        <x:f>SUM(G6,G9:G11)</x:f>
        <x:v>28187.84148001806</x:v>
      </x:c>
      <x:c r="H12" s="4"/>
      <x:c r="I12" s="4"/>
      <x:c r="J12" s="4"/>
      <x:c r="K12" s="4"/>
      <x:c r="L12" s="4"/>
      <x:c r="M12" s="4"/>
      <x:c r="N12" s="6" t="str">
        <x:v>Enterprise value</x:v>
      </x:c>
      <x:c r="O12" s="97" t="n">
        <x:f>O6+O11</x:f>
        <x:v>96358.69376522637</x:v>
      </x:c>
    </x:row>
    <x:row r="13" ht="23" customHeight="1">
      <x:c r="A13" s="4"/>
      <x:c r="B13" s="6" t="str">
        <x:v>Revenue growth</x:v>
      </x:c>
      <x:c r="C13" s="133" t="n">
        <x:f>C12/'Assumptions'!$C$17-1</x:f>
        <x:v>0.05978136362393749</x:v>
      </x:c>
      <x:c r="D13" s="136" t="n">
        <x:f>D12/C12-1</x:f>
        <x:v>0.055814964720461546</x:v>
      </x:c>
      <x:c r="E13" s="136" t="n">
        <x:f>E12/D12-1</x:f>
        <x:v>0.04982305989377123</x:v>
      </x:c>
      <x:c r="F13" s="136" t="n">
        <x:f>F12/E12-1</x:f>
        <x:v>0.046642514327199125</x:v>
      </x:c>
      <x:c r="G13" s="136" t="n">
        <x:f>G12/F12-1</x:f>
        <x:v>0.044624411490055804</x:v>
      </x:c>
      <x:c r="H13" s="4"/>
      <x:c r="I13" s="4"/>
      <x:c r="J13" s="4"/>
      <x:c r="K13" s="4"/>
      <x:c r="L13" s="4"/>
      <x:c r="M13" s="4"/>
      <x:c r="N13" s="6" t="str">
        <x:v>Excess cash</x:v>
      </x:c>
      <x:c r="O13" s="101" t="n">
        <x:f>'Assumptions'!$C$10</x:f>
        <x:v>2729.4000000000005</x:v>
      </x:c>
    </x:row>
    <x:row r="14" ht="23" customHeight="1">
      <x:c r="A14" s="4"/>
      <x:c r="B14" s="6" t="str">
        <x:v>EBIT margin</x:v>
      </x:c>
      <x:c r="C14" s="136" t="n">
        <x:f>C15/C12</x:f>
        <x:v>0.2713</x:v>
      </x:c>
      <x:c r="D14" s="136" t="n">
        <x:f>D15/D12</x:f>
        <x:v>0.27799999999999997</x:v>
      </x:c>
      <x:c r="E14" s="136" t="n">
        <x:f>E15/E12</x:f>
        <x:v>0.283</x:v>
      </x:c>
      <x:c r="F14" s="136" t="n">
        <x:f>F15/F12</x:f>
        <x:v>0.287</x:v>
      </x:c>
      <x:c r="G14" s="136" t="n">
        <x:f>G15/G12</x:f>
        <x:v>0.29</x:v>
      </x:c>
      <x:c r="H14" s="4"/>
      <x:c r="I14" s="4"/>
      <x:c r="J14" s="4"/>
      <x:c r="K14" s="4"/>
      <x:c r="L14" s="4"/>
      <x:c r="M14" s="4"/>
      <x:c r="N14" s="6" t="str">
        <x:v>Corporate debt</x:v>
      </x:c>
      <x:c r="O14" s="101" t="n">
        <x:f>'Assumptions'!$C$11</x:f>
        <x:v>4964.1</x:v>
      </x:c>
    </x:row>
    <x:row r="15" ht="23" customHeight="1">
      <x:c r="A15" s="4"/>
      <x:c r="B15" s="6" t="str">
        <x:v>EBIT</x:v>
      </x:c>
      <x:c r="C15" s="101" t="n">
        <x:f>(C6+C10)*'PEO Calibration'!C9+C30</x:f>
        <x:v>6310.2875641499995</x:v>
      </x:c>
      <x:c r="D15" s="101" t="n">
        <x:f>(D6+D10)*'PEO Calibration'!D9+D30</x:f>
        <x:v>6827.0324351399995</x:v>
      </x:c>
      <x:c r="E15" s="101" t="n">
        <x:f>(E6+E10)*'PEO Calibration'!E9+E30</x:f>
        <x:v>7296.082125675948</x:v>
      </x:c>
      <x:c r="F15" s="101" t="n">
        <x:f>(F6+F10)*'PEO Calibration'!F9+F30</x:f>
        <x:v>7744.324578080372</x:v>
      </x:c>
      <x:c r="G15" s="101" t="n">
        <x:f>(G6+G10)*'PEO Calibration'!G9+G30</x:f>
        <x:v>8174.4740292052375</x:v>
      </x:c>
      <x:c r="H15" s="4"/>
      <x:c r="I15" s="4"/>
      <x:c r="J15" s="4"/>
      <x:c r="K15" s="4"/>
      <x:c r="L15" s="4"/>
      <x:c r="M15" s="4"/>
      <x:c r="N15" s="6" t="str">
        <x:v>Equity value</x:v>
      </x:c>
      <x:c r="O15" s="97" t="n">
        <x:f>O12+O13-O14</x:f>
        <x:v>94123.99376522636</x:v>
      </x:c>
    </x:row>
    <x:row r="16" ht="23" customHeight="1">
      <x:c r="A16" s="4"/>
      <x:c r="B16" s="6" t="str">
        <x:v>Cash taxes</x:v>
      </x:c>
      <x:c r="C16" s="101" t="n">
        <x:f>C15*'Assumptions'!$C$12</x:f>
        <x:v>1451.3661397545</x:v>
      </x:c>
      <x:c r="D16" s="101" t="n">
        <x:f>D15*'Assumptions'!$C$12</x:f>
        <x:v>1570.2174600822</x:v>
      </x:c>
      <x:c r="E16" s="101" t="n">
        <x:f>E15*'Assumptions'!$C$12</x:f>
        <x:v>1678.0988889054681</x:v>
      </x:c>
      <x:c r="F16" s="101" t="n">
        <x:f>F15*'Assumptions'!$C$12</x:f>
        <x:v>1781.1946529584857</x:v>
      </x:c>
      <x:c r="G16" s="101" t="n">
        <x:f>G15*'Assumptions'!$C$12</x:f>
        <x:v>1880.1290267172046</x:v>
      </x:c>
      <x:c r="H16" s="4"/>
      <x:c r="I16" s="4"/>
      <x:c r="J16" s="4"/>
      <x:c r="K16" s="4"/>
      <x:c r="L16" s="4"/>
      <x:c r="M16" s="4"/>
      <x:c r="N16" s="6" t="str">
        <x:v>Diluted shares</x:v>
      </x:c>
      <x:c r="O16" s="101" t="n">
        <x:f>'Assumptions'!$C$7</x:f>
        <x:v>398.7</x:v>
      </x:c>
    </x:row>
    <x:row r="17" ht="23" customHeight="1">
      <x:c r="A17" s="4"/>
      <x:c r="B17" s="6" t="str">
        <x:v>NOPAT</x:v>
      </x:c>
      <x:c r="C17" s="97" t="n">
        <x:f>C15-C16</x:f>
        <x:v>4858.921424395499</x:v>
      </x:c>
      <x:c r="D17" s="97" t="n">
        <x:f>D15-D16</x:f>
        <x:v>5256.8149750577995</x:v>
      </x:c>
      <x:c r="E17" s="97" t="n">
        <x:f>E15-E16</x:f>
        <x:v>5617.98323677048</x:v>
      </x:c>
      <x:c r="F17" s="97" t="n">
        <x:f>F15-F16</x:f>
        <x:v>5963.129925121886</x:v>
      </x:c>
      <x:c r="G17" s="97" t="n">
        <x:f>G15-G16</x:f>
        <x:v>6294.345002488033</x:v>
      </x:c>
      <x:c r="H17" s="4"/>
      <x:c r="I17" s="4"/>
      <x:c r="J17" s="4"/>
      <x:c r="K17" s="4"/>
      <x:c r="L17" s="4"/>
      <x:c r="M17" s="4"/>
      <x:c r="N17" s="6" t="str">
        <x:v>PGR value / share</x:v>
      </x:c>
      <x:c r="O17" s="138" t="n">
        <x:f>O15/O16</x:f>
        <x:v>236.0772354282076</x:v>
      </x:c>
    </x:row>
    <x:row r="18" ht="23" customHeight="1">
      <x:c r="A18" s="4"/>
      <x:c r="B18" s="6" t="str">
        <x:v>D&amp;A</x:v>
      </x:c>
      <x:c r="C18" s="101" t="n">
        <x:f>(C6+C10)*'PEO Calibration'!C10</x:f>
        <x:v>604.7455829999999</x:v>
      </x:c>
      <x:c r="D18" s="101" t="n">
        <x:f>(D6+D10)*'PEO Calibration'!D10</x:f>
        <x:v>626.2206010649999</x:v>
      </x:c>
      <x:c r="E18" s="101" t="n">
        <x:f>(E6+E10)*'PEO Calibration'!E10</x:f>
        <x:v>644.5302231162498</x:v>
      </x:c>
      <x:c r="F18" s="101" t="n">
        <x:f>(F6+F10)*'PEO Calibration'!F10</x:f>
        <x:v>661.1008786166171</x:v>
      </x:c>
      <x:c r="G18" s="101" t="n">
        <x:f>(G6+G10)*'PEO Calibration'!G10</x:f>
        <x:v>676.5081955204334</x:v>
      </x:c>
      <x:c r="H18" s="4"/>
      <x:c r="I18" s="4"/>
      <x:c r="J18" s="4"/>
      <x:c r="K18" s="4"/>
      <x:c r="L18" s="4"/>
      <x:c r="M18" s="4"/>
      <x:c r="N18" s="6" t="str">
        <x:v>Current price</x:v>
      </x:c>
      <x:c r="O18" s="140" t="n">
        <x:f>'Assumptions'!$C$6</x:f>
        <x:v>270.09</x:v>
      </x:c>
    </x:row>
    <x:row r="19" ht="23" customHeight="1">
      <x:c r="A19" s="4"/>
      <x:c r="B19" s="6" t="str">
        <x:v>Capital expenditures</x:v>
      </x:c>
      <x:c r="C19" s="101" t="n">
        <x:f>(C6+C10)*'PEO Calibration'!C11</x:f>
        <x:v>697.7833649999999</x:v>
      </x:c>
      <x:c r="D19" s="101" t="n">
        <x:f>(D6+D10)*'PEO Calibration'!D11</x:f>
        <x:v>712.1724482699999</x:v>
      </x:c>
      <x:c r="E19" s="101" t="n">
        <x:f>(E6+E10)*'PEO Calibration'!E11</x:f>
        <x:v>721.8738498902</x:v>
      </x:c>
      <x:c r="F19" s="101" t="n">
        <x:f>(F6+F10)*'PEO Calibration'!F11</x:f>
        <x:v>755.5438612761337</x:v>
      </x:c>
      <x:c r="G19" s="101" t="n">
        <x:f>(G6+G10)*'PEO Calibration'!G11</x:f>
        <x:v>761.0717199604877</x:v>
      </x:c>
      <x:c r="H19" s="4"/>
      <x:c r="I19" s="4"/>
      <x:c r="J19" s="4"/>
      <x:c r="K19" s="4"/>
      <x:c r="L19" s="4"/>
      <x:c r="M19" s="4"/>
      <x:c r="N19" s="6" t="str">
        <x:v>Upside / (downside)</x:v>
      </x:c>
      <x:c r="O19" s="136" t="n">
        <x:f>O17/O18-1</x:f>
        <x:v>-0.12593122504273535</x:v>
      </x:c>
    </x:row>
    <x:row r="20" ht="28" customHeight="1">
      <x:c r="A20" s="4"/>
      <x:c r="B20" s="7" t="str">
        <x:v>Operating capital incl. contracts</x:v>
      </x:c>
      <x:c r="C20" s="101" t="n">
        <x:f>(C6+C10)*'Assumptions'!C42+'Drivers'!I35</x:f>
        <x:v>2937.714462093298</x:v>
      </x:c>
      <x:c r="D20" s="101" t="n">
        <x:f>(D6+D10)*'Assumptions'!D42+'Drivers'!J35</x:f>
        <x:v>3033.941650178758</x:v>
      </x:c>
      <x:c r="E20" s="101" t="n">
        <x:f>(E6+E10)*'Assumptions'!E42+'Drivers'!K35</x:f>
        <x:v>3135.853357195145</x:v>
      </x:c>
      <x:c r="F20" s="101" t="n">
        <x:f>(F6+F10)*'Assumptions'!F42+'Drivers'!L35</x:f>
        <x:v>3244.0561953180554</x:v>
      </x:c>
      <x:c r="G20" s="101" t="n">
        <x:f>(G6+G10)*'Assumptions'!G42+'Drivers'!M35</x:f>
        <x:v>3358.5473500784888</x:v>
      </x:c>
      <x:c r="H20" s="4"/>
      <x:c r="I20" s="4"/>
      <x:c r="J20" s="4"/>
      <x:c r="K20" s="4"/>
      <x:c r="L20" s="4"/>
      <x:c r="M20" s="4"/>
      <x:c r="N20" s="6" t="str">
        <x:v>Terminal value / EV</x:v>
      </x:c>
      <x:c r="O20" s="136" t="n">
        <x:f>O11/O12</x:f>
        <x:v>0.7809337182917258</x:v>
      </x:c>
    </x:row>
    <x:row r="21" ht="23" customHeight="1">
      <x:c r="A21" s="4"/>
      <x:c r="B21" s="6" t="str">
        <x:v>Change in operating capital</x:v>
      </x:c>
      <x:c r="C21" s="101" t="n">
        <x:f>C20-'Assumptions'!$C$19</x:f>
        <x:v>93.24696209329841</x:v>
      </x:c>
      <x:c r="D21" s="97" t="n">
        <x:f>D20-C20</x:f>
        <x:v>96.22718808546006</x:v>
      </x:c>
      <x:c r="E21" s="97" t="n">
        <x:f>E20-D20</x:f>
        <x:v>101.91170701638657</x:v>
      </x:c>
      <x:c r="F21" s="97" t="n">
        <x:f>F20-E20</x:f>
        <x:v>108.20283812291063</x:v>
      </x:c>
      <x:c r="G21" s="97" t="n">
        <x:f>G20-F20</x:f>
        <x:v>114.49115476043335</x:v>
      </x:c>
      <x:c r="H21" s="4"/>
      <x:c r="I21" s="4"/>
      <x:c r="J21" s="4"/>
      <x:c r="K21" s="4"/>
      <x:c r="L21" s="4"/>
      <x:c r="M21" s="4"/>
      <x:c r="N21" s="6" t="str">
        <x:v>Implied EV / EBITDA</x:v>
      </x:c>
      <x:c r="O21" s="142" t="n">
        <x:f>'Assumptions'!$C$22</x:f>
        <x:v>12.397658328973776</x:v>
      </x:c>
    </x:row>
    <x:row r="22" ht="23" customHeight="1">
      <x:c r="A22" s="4"/>
      <x:c r="B22" s="6" t="str">
        <x:v>FCFF</x:v>
      </x:c>
      <x:c r="C22" s="97" t="n">
        <x:f>C17+C18-C19-C21</x:f>
        <x:v>4672.636680302201</x:v>
      </x:c>
      <x:c r="D22" s="97" t="n">
        <x:f>D17+D18-D19-D21</x:f>
        <x:v>5074.635939767339</x:v>
      </x:c>
      <x:c r="E22" s="97" t="n">
        <x:f>E17+E18-E19-E21</x:f>
        <x:v>5438.727902980143</x:v>
      </x:c>
      <x:c r="F22" s="97" t="n">
        <x:f>F17+F18-F19-F21</x:f>
        <x:v>5760.484104339459</x:v>
      </x:c>
      <x:c r="G22" s="97" t="n">
        <x:f>G17+G18-G19-G21</x:f>
        <x:v>6095.290323287545</x:v>
      </x:c>
      <x:c r="H22" s="4"/>
      <x:c r="I22" s="4"/>
      <x:c r="J22" s="4"/>
      <x:c r="K22" s="4"/>
      <x:c r="L22" s="4"/>
      <x:c r="M22" s="4"/>
      <x:c r="N22" s="6" t="str">
        <x:v>Equivalent terminal value</x:v>
      </x:c>
      <x:c r="O22" s="97" t="n">
        <x:f>G25*O21</x:f>
        <x:v>109731.45349796905</x:v>
      </x:c>
    </x:row>
    <x:row r="23" ht="23" customHeight="1">
      <x:c r="A23" s="4"/>
      <x:c r="B23" s="6" t="str">
        <x:v>Discount factor</x:v>
      </x:c>
      <x:c r="C23" s="144" t="n">
        <x:f>1/(1+'Assumptions'!$C$20)^C$28</x:f>
        <x:v>0.9330157058903439</x:v>
      </x:c>
      <x:c r="D23" s="144" t="n">
        <x:f>1/(1+'Assumptions'!$C$20)^D$28</x:f>
        <x:v>0.863756961061416</x:v>
      </x:c>
      <x:c r="E23" s="144" t="n">
        <x:f>1/(1+'Assumptions'!$C$20)^E$28</x:f>
        <x:v>0.7998078995082252</x:v>
      </x:c>
      <x:c r="F23" s="144" t="n">
        <x:f>1/(1+'Assumptions'!$C$20)^F$28</x:f>
        <x:v>0.7405933670620514</x:v>
      </x:c>
      <x:c r="G23" s="144" t="n">
        <x:f>1/(1+'Assumptions'!$C$20)^G$28</x:f>
        <x:v>0.6857628383935032</x:v>
      </x:c>
      <x:c r="H23" s="4"/>
      <x:c r="I23" s="4"/>
      <x:c r="J23" s="4"/>
      <x:c r="K23" s="4"/>
      <x:c r="L23" s="4"/>
      <x:c r="M23" s="4"/>
      <x:c r="N23" s="6" t="str">
        <x:v>Equivalent value / share</x:v>
      </x:c>
      <x:c r="O23" s="138" t="n">
        <x:f>(O6+O22*G23+O13-O14)/O16</x:f>
        <x:v>236.0772354282076</x:v>
      </x:c>
    </x:row>
    <x:row r="24" ht="23" customHeight="1">
      <x:c r="A24" s="4"/>
      <x:c r="B24" s="6" t="str">
        <x:v>Present value of FCFF</x:v>
      </x:c>
      <x:c r="C24" s="97" t="n">
        <x:f>C22*C23*C$29</x:f>
        <x:v>3929.6511838382967</x:v>
      </x:c>
      <x:c r="D24" s="97" t="n">
        <x:f>D22*D23*D$29</x:f>
        <x:v>4383.252117826479</x:v>
      </x:c>
      <x:c r="E24" s="97" t="n">
        <x:f>E22*E23*E$29</x:f>
        <x:v>4349.937540079322</x:v>
      </x:c>
      <x:c r="F24" s="97" t="n">
        <x:f>F22*F23*F$29</x:f>
        <x:v>4266.176318740185</x:v>
      </x:c>
      <x:c r="G24" s="97" t="n">
        <x:f>G22*G23*G$29</x:f>
        <x:v>4179.92359293012</x:v>
      </x:c>
      <x:c r="H24" s="4"/>
      <x:c r="I24" s="4"/>
      <x:c r="J24" s="4"/>
      <x:c r="K24" s="4"/>
      <x:c r="L24" s="4"/>
      <x:c r="M24" s="4"/>
      <x:c r="N24" s="4"/>
      <x:c r="O24" s="4"/>
    </x:row>
    <x:row r="25" ht="23" customHeight="1">
      <x:c r="A25" s="4"/>
      <x:c r="B25" s="6" t="str">
        <x:v>EBITDA</x:v>
      </x:c>
      <x:c r="C25" s="97" t="n">
        <x:f>C15+C18</x:f>
        <x:v>6915.033147149999</x:v>
      </x:c>
      <x:c r="D25" s="97" t="n">
        <x:f>D15+D18</x:f>
        <x:v>7453.253036204999</x:v>
      </x:c>
      <x:c r="E25" s="97" t="n">
        <x:f>E15+E18</x:f>
        <x:v>7940.612348792198</x:v>
      </x:c>
      <x:c r="F25" s="97" t="n">
        <x:f>F15+F18</x:f>
        <x:v>8405.425456696988</x:v>
      </x:c>
      <x:c r="G25" s="97" t="n">
        <x:f>G15+G18</x:f>
        <x:v>8850.98222472567</x:v>
      </x:c>
      <x:c r="H25" s="4"/>
      <x:c r="I25" s="4"/>
      <x:c r="J25" s="4"/>
      <x:c r="K25" s="4"/>
      <x:c r="L25" s="4"/>
      <x:c r="M25" s="4"/>
      <x:c r="N25" s="4"/>
      <x:c r="O25" s="4"/>
    </x:row>
    <x:row r="26" ht="23" customHeight="1">
      <x:c r="A26" s="4"/>
      <x:c r="B26" s="6" t="str">
        <x:v>EBITDA margin</x:v>
      </x:c>
      <x:c r="C26" s="136" t="n">
        <x:f>C25/C12</x:f>
        <x:v>0.29729999999999995</x:v>
      </x:c>
      <x:c r="D26" s="136" t="n">
        <x:f>D25/D12</x:f>
        <x:v>0.30349999999999994</x:v>
      </x:c>
      <x:c r="E26" s="136" t="n">
        <x:f>E25/E12</x:f>
        <x:v>0.30799999999999994</x:v>
      </x:c>
      <x:c r="F26" s="136" t="n">
        <x:f>F25/F12</x:f>
        <x:v>0.31149999999999994</x:v>
      </x:c>
      <x:c r="G26" s="136" t="n">
        <x:f>G25/G12</x:f>
        <x:v>0.314</x:v>
      </x:c>
      <x:c r="H26" s="4"/>
      <x:c r="I26" s="4"/>
      <x:c r="J26" s="4"/>
      <x:c r="K26" s="4"/>
      <x:c r="L26" s="4"/>
      <x:c r="M26" s="4"/>
      <x:c r="N26" s="4"/>
      <x:c r="O26" s="4"/>
    </x:row>
    <x:row r="27" ht="23" customHeight="1">
      <x:c r="A27" s="4"/>
      <x:c r="B27" s="6" t="str">
        <x:v>Fiscal year-end</x:v>
      </x:c>
      <x:c r="C27" s="146" t="n">
        <x:f>DATE(VALUE(MID(C$5,3,4)),6,30)</x:f>
        <x:v>46568</x:v>
      </x:c>
      <x:c r="D27" s="146" t="n">
        <x:f>DATE(VALUE(MID(D$5,3,4)),6,30)</x:f>
        <x:v>46934</x:v>
      </x:c>
      <x:c r="E27" s="146" t="n">
        <x:f>DATE(VALUE(MID(E$5,3,4)),6,30)</x:f>
        <x:v>47299</x:v>
      </x:c>
      <x:c r="F27" s="146" t="n">
        <x:f>DATE(VALUE(MID(F$5,3,4)),6,30)</x:f>
        <x:v>47664</x:v>
      </x:c>
      <x:c r="G27" s="146" t="n">
        <x:f>DATE(VALUE(MID(G$5,3,4)),6,30)</x:f>
        <x:v>48029</x:v>
      </x:c>
      <x:c r="H27" s="4"/>
      <x:c r="I27" s="4"/>
      <x:c r="J27" s="4"/>
      <x:c r="K27" s="4"/>
      <x:c r="L27" s="4"/>
      <x:c r="M27" s="4"/>
      <x:c r="N27" s="6" t="str">
        <x:v>FY2032 terminal FCFF</x:v>
      </x:c>
      <x:c r="O27" s="101" t="n">
        <x:f>G17*(1+O7)*(1-O7/'Assumptions'!$C$74)</x:f>
        <x:v>5756.021146150245</x:v>
      </x:c>
    </x:row>
    <x:row r="28" ht="23" customHeight="1">
      <x:c r="A28" s="4"/>
      <x:c r="B28" s="6" t="str">
        <x:v>Discount period (ACT/365 years)</x:v>
      </x:c>
      <x:c r="C28" s="148" t="n">
        <x:f>(C27-'Assumptions'!$C$5)/365</x:f>
        <x:v>0.9013698630136986</x:v>
      </x:c>
      <x:c r="D28" s="148" t="n">
        <x:f>(D27-'Assumptions'!$C$5)/365</x:f>
        <x:v>1.904109589041096</x:v>
      </x:c>
      <x:c r="E28" s="148" t="n">
        <x:f>(E27-'Assumptions'!$C$5)/365</x:f>
        <x:v>2.904109589041096</x:v>
      </x:c>
      <x:c r="F28" s="148" t="n">
        <x:f>(F27-'Assumptions'!$C$5)/365</x:f>
        <x:v>3.904109589041096</x:v>
      </x:c>
      <x:c r="G28" s="148" t="n">
        <x:f>(G27-'Assumptions'!$C$5)/365</x:f>
        <x:v>4.904109589041096</x:v>
      </x:c>
      <x:c r="H28" s="4"/>
      <x:c r="I28" s="4"/>
      <x:c r="J28" s="4"/>
      <x:c r="K28" s="4"/>
      <x:c r="L28" s="4"/>
      <x:c r="M28" s="4"/>
      <x:c r="N28" s="6" t="str">
        <x:v>Terminal reinvestment rate</x:v>
      </x:c>
      <x:c r="O28" s="199" t="n">
        <x:f>O7/'Assumptions'!$C$74</x:f>
        <x:v>0.11</x:v>
      </x:c>
    </x:row>
    <x:row r="29" ht="23" customHeight="1">
      <x:c r="A29" s="4"/>
      <x:c r="B29" s="6" t="str">
        <x:v>Remaining share of annual FCFF</x:v>
      </x:c>
      <x:c r="C29" s="150" t="n">
        <x:f>MAX(0,MIN(1,(C27-'Assumptions'!$C$5)/(C27-DATE(VALUE(MID(C$5,3,4))-1,6,30))))</x:f>
        <x:v>0.9013698726851852</x:v>
      </x:c>
      <x:c r="D29" s="152" t="n">
        <x:f>1</x:f>
        <x:v>1</x:v>
      </x:c>
      <x:c r="E29" s="152" t="n">
        <x:f>1</x:f>
        <x:v>1</x:v>
      </x:c>
      <x:c r="F29" s="152" t="n">
        <x:f>1</x:f>
        <x:v>1</x:v>
      </x:c>
      <x:c r="G29" s="152" t="n">
        <x:f>1</x:f>
        <x:v>1</x:v>
      </x:c>
      <x:c r="H29" s="4"/>
      <x:c r="I29" s="4"/>
      <x:c r="J29" s="4"/>
      <x:c r="K29" s="4"/>
      <x:c r="L29" s="4"/>
      <x:c r="M29" s="4"/>
      <x:c r="N29" s="6" t="str">
        <x:v>FY2032 net reinvestment</x:v>
      </x:c>
      <x:c r="O29" s="101" t="n">
        <x:f>G17*(1+O7)*O7/'Assumptions'!$C$74</x:f>
        <x:v>711.41834390621</x:v>
      </x:c>
    </x:row>
    <x:row r="30" ht="23" customHeight="1">
      <x:c r="A30" s="4"/>
      <x:c r="B30" s="118" t="str">
        <x:v>Net client-funds contribution</x:v>
      </x:c>
      <x:c r="C30" s="153" t="n">
        <x:f>C9-C31</x:f>
        <x:v>1500.70446</x:v>
      </x:c>
      <x:c r="D30" s="153" t="n">
        <x:f>D9-D31</x:f>
        <x:v>1602.9146016000002</x:v>
      </x:c>
      <x:c r="E30" s="153" t="n">
        <x:f>E9-E31</x:f>
        <x:v>1623.1619439360002</x:v>
      </x:c>
      <x:c r="F30" s="153" t="n">
        <x:f>F9-F31</x:f>
        <x:v>1642.46441029632</x:v>
      </x:c>
      <x:c r="G30" s="153" t="n">
        <x:f>G9-G31</x:f>
        <x:v>1660.7140148551684</x:v>
      </x:c>
      <x:c r="H30" s="4"/>
      <x:c r="I30" s="4"/>
      <x:c r="J30" s="4"/>
      <x:c r="K30" s="4"/>
      <x:c r="L30" s="4"/>
      <x:c r="M30" s="4"/>
      <x:c r="N30" s="4"/>
      <x:c r="O30" s="4"/>
    </x:row>
    <x:row r="31" ht="23" customHeight="1">
      <x:c r="A31" s="4"/>
      <x:c r="B31" s="118" t="str">
        <x:v>Client-funds expense allowance</x:v>
      </x:c>
      <x:c r="C31" s="154" t="n">
        <x:f>C9*'Assumptions'!$G$12</x:f>
        <x:v>46.41354</x:v>
      </x:c>
      <x:c r="D31" s="154" t="n">
        <x:f>D9*'Assumptions'!$G$12</x:f>
        <x:v>49.5746784</x:v>
      </x:c>
      <x:c r="E31" s="154" t="n">
        <x:f>E9*'Assumptions'!$G$12</x:f>
        <x:v>50.200884864</x:v>
      </x:c>
      <x:c r="F31" s="154" t="n">
        <x:f>F9*'Assumptions'!$G$12</x:f>
        <x:v>50.79786835968</x:v>
      </x:c>
      <x:c r="G31" s="154" t="n">
        <x:f>G9*'Assumptions'!$G$12</x:f>
        <x:v>51.36228911923201</x:v>
      </x:c>
      <x:c r="H31" s="4"/>
      <x:c r="I31" s="4"/>
      <x:c r="J31" s="4"/>
      <x:c r="K31" s="4"/>
      <x:c r="L31" s="4"/>
      <x:c r="M31" s="4"/>
      <x:c r="N31" s="4"/>
      <x:c r="O31" s="4"/>
    </x:row>
    <x:row r="32" ht="23" customHeight="1">
      <x:c r="A32" s="4"/>
      <x:c r="B32" s="6" t="str">
        <x:v>Downside Case</x:v>
      </x:c>
      <x:c r="C32" s="4"/>
      <x:c r="D32" s="4"/>
      <x:c r="E32" s="4"/>
      <x:c r="F32" s="4"/>
      <x:c r="G32" s="4"/>
      <x:c r="H32" s="4"/>
      <x:c r="I32" s="4"/>
      <x:c r="J32" s="4"/>
      <x:c r="K32" s="4"/>
      <x:c r="L32" s="4"/>
      <x:c r="M32" s="4"/>
      <x:c r="N32" s="6" t="str">
        <x:v>Downside Case Valuation</x:v>
      </x:c>
      <x:c r="O32" s="4"/>
    </x:row>
    <x:row r="33" ht="34" customHeight="1">
      <x:c r="A33" s="4"/>
      <x:c r="B33" s="40" t="str">
        <x:v>Metric</x:v>
      </x:c>
      <x:c r="C33" s="40" t="str">
        <x:v>FY2027E</x:v>
      </x:c>
      <x:c r="D33" s="40" t="str">
        <x:v>FY2028E</x:v>
      </x:c>
      <x:c r="E33" s="40" t="str">
        <x:v>FY2029E</x:v>
      </x:c>
      <x:c r="F33" s="40" t="str">
        <x:v>FY2030E</x:v>
      </x:c>
      <x:c r="G33" s="40" t="str">
        <x:v>FY2031E</x:v>
      </x:c>
      <x:c r="H33" s="42"/>
      <x:c r="I33" s="42"/>
      <x:c r="J33" s="42"/>
      <x:c r="K33" s="42"/>
      <x:c r="L33" s="42"/>
      <x:c r="M33" s="42"/>
      <x:c r="N33" s="42"/>
      <x:c r="O33" s="42"/>
    </x:row>
    <x:row r="34" ht="23" customHeight="1">
      <x:c r="A34" s="4"/>
      <x:c r="B34" s="6" t="str">
        <x:v>Core HCM revenue</x:v>
      </x:c>
      <x:c r="C34" s="101" t="n">
        <x:f>'Assumptions'!$C$13*(1+'Assumptions'!C48)</x:f>
        <x:v>14015.872</x:v>
      </x:c>
      <x:c r="D34" s="101" t="n">
        <x:f>C34*(1+'Assumptions'!D48)</x:f>
        <x:v>14436.34816</x:v>
      </x:c>
      <x:c r="E34" s="101" t="n">
        <x:f>D34*(1+'Assumptions'!E48)</x:f>
        <x:v>14941.620345599998</x:v>
      </x:c>
      <x:c r="F34" s="101" t="n">
        <x:f>E34*(1+'Assumptions'!F48)</x:f>
        <x:v>15539.285159423998</x:v>
      </x:c>
      <x:c r="G34" s="101" t="n">
        <x:f>F34*(1+'Assumptions'!G48)</x:f>
        <x:v>16160.85656580096</x:v>
      </x:c>
      <x:c r="H34" s="4"/>
      <x:c r="I34" s="4"/>
      <x:c r="J34" s="4"/>
      <x:c r="K34" s="4"/>
      <x:c r="L34" s="4"/>
      <x:c r="M34" s="4"/>
      <x:c r="N34" s="6" t="str">
        <x:v>PV explicit FCFF</x:v>
      </x:c>
      <x:c r="O34" s="97" t="n">
        <x:f>SUM(C52:G52)</x:f>
        <x:v>18325.584327645807</x:v>
      </x:c>
    </x:row>
    <x:row r="35" ht="23" customHeight="1">
      <x:c r="A35" s="4"/>
      <x:c r="B35" s="6" t="str">
        <x:v>Average client-funds balance</x:v>
      </x:c>
      <x:c r="C35" s="101" t="n">
        <x:f>'Assumptions'!$C$14*(1+'Assumptions'!C49)</x:f>
        <x:v>41208</x:v>
      </x:c>
      <x:c r="D35" s="101" t="n">
        <x:f>C35*(1+'Assumptions'!D49)</x:f>
        <x:v>42032.16</x:v>
      </x:c>
      <x:c r="E35" s="101" t="n">
        <x:f>D35*(1+'Assumptions'!E49)</x:f>
        <x:v>43293.124800000005</x:v>
      </x:c>
      <x:c r="F35" s="101" t="n">
        <x:f>E35*(1+'Assumptions'!F49)</x:f>
        <x:v>44591.91854400001</x:v>
      </x:c>
      <x:c r="G35" s="101" t="n">
        <x:f>F35*(1+'Assumptions'!G49)</x:f>
        <x:v>45929.67610032001</x:v>
      </x:c>
      <x:c r="H35" s="4"/>
      <x:c r="I35" s="4"/>
      <x:c r="J35" s="4"/>
      <x:c r="K35" s="4"/>
      <x:c r="L35" s="4"/>
      <x:c r="M35" s="4"/>
      <x:c r="N35" s="6" t="str">
        <x:v>Terminal growth</x:v>
      </x:c>
      <x:c r="O35" s="133" t="n">
        <x:f>'Assumptions'!$C$24</x:f>
        <x:v>0.0225</x:v>
      </x:c>
    </x:row>
    <x:row r="36" ht="23" customHeight="1">
      <x:c r="A36" s="4"/>
      <x:c r="B36" s="6" t="str">
        <x:v>Client-funds yield</x:v>
      </x:c>
      <x:c r="C36" s="133" t="n">
        <x:f>'Assumptions'!C50</x:f>
        <x:v>0.034</x:v>
      </x:c>
      <x:c r="D36" s="133" t="n">
        <x:f>'Assumptions'!D50</x:f>
        <x:v>0.03</x:v>
      </x:c>
      <x:c r="E36" s="133" t="n">
        <x:f>'Assumptions'!E50</x:f>
        <x:v>0.028</x:v>
      </x:c>
      <x:c r="F36" s="133" t="n">
        <x:f>'Assumptions'!F50</x:f>
        <x:v>0.028</x:v>
      </x:c>
      <x:c r="G36" s="133" t="n">
        <x:f>'Assumptions'!G50</x:f>
        <x:v>0.028</x:v>
      </x:c>
      <x:c r="H36" s="4"/>
      <x:c r="I36" s="4"/>
      <x:c r="J36" s="4"/>
      <x:c r="K36" s="4"/>
      <x:c r="L36" s="4"/>
      <x:c r="M36" s="4"/>
      <x:c r="N36" s="6" t="str">
        <x:v>WACC</x:v>
      </x:c>
      <x:c r="O36" s="133" t="n">
        <x:f>'Assumptions'!$C$23</x:f>
        <x:v>0.0849555263113942</x:v>
      </x:c>
    </x:row>
    <x:row r="37" ht="23" customHeight="1">
      <x:c r="A37" s="4"/>
      <x:c r="B37" s="6" t="str">
        <x:v>Client-funds interest</x:v>
      </x:c>
      <x:c r="C37" s="97" t="n">
        <x:f>C35*C36</x:f>
        <x:v>1401.0720000000001</x:v>
      </x:c>
      <x:c r="D37" s="97" t="n">
        <x:f>D35*D36</x:f>
        <x:v>1260.9648</x:v>
      </x:c>
      <x:c r="E37" s="97" t="n">
        <x:f>E35*E36</x:f>
        <x:v>1212.2074944</x:v>
      </x:c>
      <x:c r="F37" s="97" t="n">
        <x:f>F35*F36</x:f>
        <x:v>1248.5737192320003</x:v>
      </x:c>
      <x:c r="G37" s="97" t="n">
        <x:f>G35*G36</x:f>
        <x:v>1286.0309308089602</x:v>
      </x:c>
      <x:c r="H37" s="4"/>
      <x:c r="I37" s="4"/>
      <x:c r="J37" s="4"/>
      <x:c r="K37" s="4"/>
      <x:c r="L37" s="4"/>
      <x:c r="M37" s="4"/>
      <x:c r="N37" s="6" t="str">
        <x:v>Final explicit-year FCFF</x:v>
      </x:c>
      <x:c r="O37" s="97" t="n">
        <x:f>G50</x:f>
        <x:v>5222.40146126654</x:v>
      </x:c>
    </x:row>
    <x:row r="38" ht="23" customHeight="1">
      <x:c r="A38" s="4"/>
      <x:c r="B38" s="6" t="str">
        <x:v>PEO revenue ex pass-through</x:v>
      </x:c>
      <x:c r="C38" s="101" t="n">
        <x:f>'Assumptions'!$C$15*(1+'Assumptions'!C51)</x:f>
        <x:v>2558.67</x:v>
      </x:c>
      <x:c r="D38" s="101" t="n">
        <x:f>C38*(1+'Assumptions'!D51)</x:f>
        <x:v>2597.05005</x:v>
      </x:c>
      <x:c r="E38" s="101" t="n">
        <x:f>D38*(1+'Assumptions'!E51)</x:f>
        <x:v>2661.97630125</x:v>
      </x:c>
      <x:c r="F38" s="101" t="n">
        <x:f>E38*(1+'Assumptions'!F51)</x:f>
        <x:v>2741.8355902875</x:v>
      </x:c>
      <x:c r="G38" s="101" t="n">
        <x:f>F38*(1+'Assumptions'!G51)</x:f>
        <x:v>2824.090657996125</x:v>
      </x:c>
      <x:c r="H38" s="4"/>
      <x:c r="I38" s="4"/>
      <x:c r="J38" s="4"/>
      <x:c r="K38" s="4"/>
      <x:c r="L38" s="4"/>
      <x:c r="M38" s="4"/>
      <x:c r="N38" s="6" t="str">
        <x:v>Terminal value</x:v>
      </x:c>
      <x:c r="O38" s="97" t="n">
        <x:f>IF(O36&gt;O35,O55/(O36-O35),"INPUT REQUIRED: WACC must exceed growth")</x:f>
        <x:v>79033.3506382972</x:v>
      </x:c>
    </x:row>
    <x:row r="39" ht="23" customHeight="1">
      <x:c r="A39" s="4"/>
      <x:c r="B39" s="6" t="str">
        <x:v>PEO pass-through revenue</x:v>
      </x:c>
      <x:c r="C39" s="101" t="n">
        <x:f>'Assumptions'!$C$16*(1+'Assumptions'!C52)</x:f>
        <x:v>4837.665</x:v>
      </x:c>
      <x:c r="D39" s="101" t="n">
        <x:f>C39*(1+'Assumptions'!D52)</x:f>
        <x:v>4982.79495</x:v>
      </x:c>
      <x:c r="E39" s="101" t="n">
        <x:f>D39*(1+'Assumptions'!E52)</x:f>
        <x:v>5182.106748000001</x:v>
      </x:c>
      <x:c r="F39" s="101" t="n">
        <x:f>E39*(1+'Assumptions'!F52)</x:f>
        <x:v>5389.391017920001</x:v>
      </x:c>
      <x:c r="G39" s="101" t="n">
        <x:f>F39*(1+'Assumptions'!G52)</x:f>
        <x:v>5604.966658636801</x:v>
      </x:c>
      <x:c r="H39" s="4"/>
      <x:c r="I39" s="4"/>
      <x:c r="J39" s="4"/>
      <x:c r="K39" s="4"/>
      <x:c r="L39" s="4"/>
      <x:c r="M39" s="4"/>
      <x:c r="N39" s="6" t="str">
        <x:v>PV terminal value</x:v>
      </x:c>
      <x:c r="O39" s="97" t="n">
        <x:f>O38*G51</x:f>
        <x:v>52984.19960071843</x:v>
      </x:c>
    </x:row>
    <x:row r="40" ht="23" customHeight="1">
      <x:c r="A40" s="4"/>
      <x:c r="B40" s="6" t="str">
        <x:v>Total revenue</x:v>
      </x:c>
      <x:c r="C40" s="97" t="n">
        <x:f>SUM(C34,C37:C39)</x:f>
        <x:v>22813.279</x:v>
      </x:c>
      <x:c r="D40" s="97" t="n">
        <x:f>SUM(D34,D37:D39)</x:f>
        <x:v>23277.157959999997</x:v>
      </x:c>
      <x:c r="E40" s="97" t="n">
        <x:f>SUM(E34,E37:E39)</x:f>
        <x:v>23997.91088925</x:v>
      </x:c>
      <x:c r="F40" s="97" t="n">
        <x:f>SUM(F34,F37:F39)</x:f>
        <x:v>24919.0854868635</x:v>
      </x:c>
      <x:c r="G40" s="97" t="n">
        <x:f>SUM(G34,G37:G39)</x:f>
        <x:v>25875.944813242844</x:v>
      </x:c>
      <x:c r="H40" s="4"/>
      <x:c r="I40" s="4"/>
      <x:c r="J40" s="4"/>
      <x:c r="K40" s="4"/>
      <x:c r="L40" s="4"/>
      <x:c r="M40" s="4"/>
      <x:c r="N40" s="6" t="str">
        <x:v>Enterprise value</x:v>
      </x:c>
      <x:c r="O40" s="97" t="n">
        <x:f>O34+O39</x:f>
        <x:v>71309.78392836424</x:v>
      </x:c>
    </x:row>
    <x:row r="41" ht="23" customHeight="1">
      <x:c r="A41" s="4"/>
      <x:c r="B41" s="6" t="str">
        <x:v>Revenue growth</x:v>
      </x:c>
      <x:c r="C41" s="133" t="n">
        <x:f>C40/'Assumptions'!$C$17-1</x:f>
        <x:v>0.039452463617558386</x:v>
      </x:c>
      <x:c r="D41" s="136" t="n">
        <x:f>D40/C40-1</x:f>
        <x:v>0.020333725809428715</x:v>
      </x:c>
      <x:c r="E41" s="136" t="n">
        <x:f>E40/D40-1</x:f>
        <x:v>0.03096395747661984</x:v>
      </x:c>
      <x:c r="F41" s="136" t="n">
        <x:f>F40/E40-1</x:f>
        <x:v>0.03838561622570835</x:v>
      </x:c>
      <x:c r="G41" s="136" t="n">
        <x:f>G40/F40-1</x:f>
        <x:v>0.03839865338893622</x:v>
      </x:c>
      <x:c r="H41" s="4"/>
      <x:c r="I41" s="4"/>
      <x:c r="J41" s="4"/>
      <x:c r="K41" s="4"/>
      <x:c r="L41" s="4"/>
      <x:c r="M41" s="4"/>
      <x:c r="N41" s="6" t="str">
        <x:v>Excess cash</x:v>
      </x:c>
      <x:c r="O41" s="101" t="n">
        <x:f>'Assumptions'!$C$10</x:f>
        <x:v>2729.4000000000005</x:v>
      </x:c>
    </x:row>
    <x:row r="42" ht="23" customHeight="1">
      <x:c r="A42" s="4"/>
      <x:c r="B42" s="6" t="str">
        <x:v>EBIT margin</x:v>
      </x:c>
      <x:c r="C42" s="136" t="n">
        <x:f>C43/C40</x:f>
        <x:v>0.26500000000000007</x:v>
      </x:c>
      <x:c r="D42" s="136" t="n">
        <x:f>D43/D40</x:f>
        <x:v>0.26300000000000007</x:v>
      </x:c>
      <x:c r="E42" s="136" t="n">
        <x:f>E43/E40</x:f>
        <x:v>0.266</x:v>
      </x:c>
      <x:c r="F42" s="136" t="n">
        <x:f>F43/F40</x:f>
        <x:v>0.2700000000000001</x:v>
      </x:c>
      <x:c r="G42" s="136" t="n">
        <x:f>G43/G40</x:f>
        <x:v>0.273</x:v>
      </x:c>
      <x:c r="H42" s="4"/>
      <x:c r="I42" s="4"/>
      <x:c r="J42" s="4"/>
      <x:c r="K42" s="4"/>
      <x:c r="L42" s="4"/>
      <x:c r="M42" s="4"/>
      <x:c r="N42" s="6" t="str">
        <x:v>Corporate debt</x:v>
      </x:c>
      <x:c r="O42" s="101" t="n">
        <x:f>'Assumptions'!$C$11</x:f>
        <x:v>4964.1</x:v>
      </x:c>
    </x:row>
    <x:row r="43" ht="23" customHeight="1">
      <x:c r="A43" s="4"/>
      <x:c r="B43" s="6" t="str">
        <x:v>EBIT</x:v>
      </x:c>
      <x:c r="C43" s="101" t="n">
        <x:f>(C34+C38)*'PEO Calibration'!C20+C58</x:f>
        <x:v>6045.518935000001</x:v>
      </x:c>
      <x:c r="D43" s="101" t="n">
        <x:f>(D34+D38)*'PEO Calibration'!D20+D58</x:f>
        <x:v>6121.89254348</x:v>
      </x:c>
      <x:c r="E43" s="101" t="n">
        <x:f>(E34+E38)*'PEO Calibration'!E20+E58</x:f>
        <x:v>6383.4442965405005</x:v>
      </x:c>
      <x:c r="F43" s="101" t="n">
        <x:f>(F34+F38)*'PEO Calibration'!F20+F58</x:f>
        <x:v>6728.153081453147</x:v>
      </x:c>
      <x:c r="G43" s="101" t="n">
        <x:f>(G34+G38)*'PEO Calibration'!G20+G58</x:f>
        <x:v>7064.132934015297</x:v>
      </x:c>
      <x:c r="H43" s="4"/>
      <x:c r="I43" s="4"/>
      <x:c r="J43" s="4"/>
      <x:c r="K43" s="4"/>
      <x:c r="L43" s="4"/>
      <x:c r="M43" s="4"/>
      <x:c r="N43" s="6" t="str">
        <x:v>Equity value</x:v>
      </x:c>
      <x:c r="O43" s="97" t="n">
        <x:f>O40+O41-O42</x:f>
        <x:v>69075.08392836423</x:v>
      </x:c>
    </x:row>
    <x:row r="44" ht="23" customHeight="1">
      <x:c r="A44" s="4"/>
      <x:c r="B44" s="6" t="str">
        <x:v>Cash taxes</x:v>
      </x:c>
      <x:c r="C44" s="101" t="n">
        <x:f>C43*'Assumptions'!$C$12</x:f>
        <x:v>1390.4693550500003</x:v>
      </x:c>
      <x:c r="D44" s="101" t="n">
        <x:f>D43*'Assumptions'!$C$12</x:f>
        <x:v>1408.0352850004</x:v>
      </x:c>
      <x:c r="E44" s="101" t="n">
        <x:f>E43*'Assumptions'!$C$12</x:f>
        <x:v>1468.1921882043152</x:v>
      </x:c>
      <x:c r="F44" s="101" t="n">
        <x:f>F43*'Assumptions'!$C$12</x:f>
        <x:v>1547.4752087342238</x:v>
      </x:c>
      <x:c r="G44" s="101" t="n">
        <x:f>G43*'Assumptions'!$C$12</x:f>
        <x:v>1624.7505748235185</x:v>
      </x:c>
      <x:c r="H44" s="4"/>
      <x:c r="I44" s="4"/>
      <x:c r="J44" s="4"/>
      <x:c r="K44" s="4"/>
      <x:c r="L44" s="4"/>
      <x:c r="M44" s="4"/>
      <x:c r="N44" s="6" t="str">
        <x:v>Diluted shares</x:v>
      </x:c>
      <x:c r="O44" s="101" t="n">
        <x:f>'Assumptions'!$C$7</x:f>
        <x:v>398.7</x:v>
      </x:c>
    </x:row>
    <x:row r="45" ht="23" customHeight="1">
      <x:c r="A45" s="4"/>
      <x:c r="B45" s="6" t="str">
        <x:v>NOPAT</x:v>
      </x:c>
      <x:c r="C45" s="97" t="n">
        <x:f>C43-C44</x:f>
        <x:v>4655.04957995</x:v>
      </x:c>
      <x:c r="D45" s="97" t="n">
        <x:f>D43-D44</x:f>
        <x:v>4713.8572584796</x:v>
      </x:c>
      <x:c r="E45" s="97" t="n">
        <x:f>E43-E44</x:f>
        <x:v>4915.252108336185</x:v>
      </x:c>
      <x:c r="F45" s="97" t="n">
        <x:f>F43-F44</x:f>
        <x:v>5180.677872718923</x:v>
      </x:c>
      <x:c r="G45" s="97" t="n">
        <x:f>G43-G44</x:f>
        <x:v>5439.382359191779</x:v>
      </x:c>
      <x:c r="H45" s="4"/>
      <x:c r="I45" s="4"/>
      <x:c r="J45" s="4"/>
      <x:c r="K45" s="4"/>
      <x:c r="L45" s="4"/>
      <x:c r="M45" s="4"/>
      <x:c r="N45" s="6" t="str">
        <x:v>PGR value / share</x:v>
      </x:c>
      <x:c r="O45" s="138" t="n">
        <x:f>O43/O44</x:f>
        <x:v>173.25077483913776</x:v>
      </x:c>
    </x:row>
    <x:row r="46" ht="23" customHeight="1">
      <x:c r="A46" s="4"/>
      <x:c r="B46" s="6" t="str">
        <x:v>D&amp;A</x:v>
      </x:c>
      <x:c r="C46" s="101" t="n">
        <x:f>(C34+C38)*'PEO Calibration'!C21</x:f>
        <x:v>615.9585330000002</x:v>
      </x:c>
      <x:c r="D46" s="101" t="n">
        <x:f>(D34+D38)*'PEO Calibration'!D21</x:f>
        <x:v>628.48326492</x:v>
      </x:c>
      <x:c r="E46" s="101" t="n">
        <x:f>(E34+E38)*'PEO Calibration'!E21</x:f>
        <x:v>635.944638565125</x:v>
      </x:c>
      <x:c r="F46" s="101" t="n">
        <x:f>(F34+F38)*'PEO Calibration'!F21</x:f>
        <x:v>647.896222658451</x:v>
      </x:c>
      <x:c r="G46" s="101" t="n">
        <x:f>(G34+G38)*'PEO Calibration'!G21</x:f>
        <x:v>672.7745651443139</x:v>
      </x:c>
      <x:c r="H46" s="4"/>
      <x:c r="I46" s="4"/>
      <x:c r="J46" s="4"/>
      <x:c r="K46" s="4"/>
      <x:c r="L46" s="4"/>
      <x:c r="M46" s="4"/>
      <x:c r="N46" s="6" t="str">
        <x:v>Current price</x:v>
      </x:c>
      <x:c r="O46" s="140" t="n">
        <x:f>'Assumptions'!$C$6</x:f>
        <x:v>270.09</x:v>
      </x:c>
    </x:row>
    <x:row r="47" ht="23" customHeight="1">
      <x:c r="A47" s="4"/>
      <x:c r="B47" s="6" t="str">
        <x:v>Capital expenditures</x:v>
      </x:c>
      <x:c r="C47" s="101" t="n">
        <x:f>(C34+C38)*'PEO Calibration'!C22</x:f>
        <x:v>730.0249280000002</x:v>
      </x:c>
      <x:c r="D47" s="101" t="n">
        <x:f>(D34+D38)*'PEO Calibration'!D22</x:f>
        <x:v>744.86905472</x:v>
      </x:c>
      <x:c r="E47" s="101" t="n">
        <x:f>(E34+E38)*'PEO Calibration'!E22</x:f>
        <x:v>743.9352375667501</x:v>
      </x:c>
      <x:c r="F47" s="101" t="n">
        <x:f>(F34+F38)*'PEO Calibration'!F22</x:f>
        <x:v>747.5725646059051</x:v>
      </x:c>
      <x:c r="G47" s="101" t="n">
        <x:f>(G34+G38)*'PEO Calibration'!G22</x:f>
        <x:v>776.2783443972853</x:v>
      </x:c>
      <x:c r="H47" s="4"/>
      <x:c r="I47" s="4"/>
      <x:c r="J47" s="4"/>
      <x:c r="K47" s="4"/>
      <x:c r="L47" s="4"/>
      <x:c r="M47" s="4"/>
      <x:c r="N47" s="6" t="str">
        <x:v>Upside / (downside)</x:v>
      </x:c>
      <x:c r="O47" s="136" t="n">
        <x:f>O45/O46-1</x:f>
        <x:v>-0.3585442821313718</x:v>
      </x:c>
    </x:row>
    <x:row r="48" ht="28" customHeight="1">
      <x:c r="A48" s="4"/>
      <x:c r="B48" s="7" t="str">
        <x:v>Operating capital incl. contracts</x:v>
      </x:c>
      <x:c r="C48" s="101" t="n">
        <x:f>(C34+C38)*'Assumptions'!C56+'Drivers'!I45</x:f>
        <x:v>3023.968084186597</x:v>
      </x:c>
      <x:c r="D48" s="101" t="n">
        <x:f>(D34+D38)*'Assumptions'!D56+'Drivers'!J45</x:f>
        <x:v>3129.232788901538</x:v>
      </x:c>
      <x:c r="E48" s="101" t="n">
        <x:f>(E34+E38)*'Assumptions'!E56+'Drivers'!K45</x:f>
        <x:v>3236.101625796693</x:v>
      </x:c>
      <x:c r="F48" s="101" t="n">
        <x:f>(F34+F38)*'Assumptions'!F56+'Drivers'!L45</x:f>
        <x:v>3345.3760121197256</x:v>
      </x:c>
      <x:c r="G48" s="101" t="n">
        <x:f>(G34+G38)*'Assumptions'!G56+'Drivers'!M45</x:f>
        <x:v>3458.8531307919934</x:v>
      </x:c>
      <x:c r="H48" s="4"/>
      <x:c r="I48" s="4"/>
      <x:c r="J48" s="4"/>
      <x:c r="K48" s="4"/>
      <x:c r="L48" s="4"/>
      <x:c r="M48" s="4"/>
      <x:c r="N48" s="6" t="str">
        <x:v>Terminal value / EV</x:v>
      </x:c>
      <x:c r="O48" s="136" t="n">
        <x:f>O39/O40</x:f>
        <x:v>0.7430144460112912</x:v>
      </x:c>
    </x:row>
    <x:row r="49" ht="23" customHeight="1">
      <x:c r="A49" s="4"/>
      <x:c r="B49" s="6" t="str">
        <x:v>Change in operating capital</x:v>
      </x:c>
      <x:c r="C49" s="101" t="n">
        <x:f>C48-'Assumptions'!$C$19</x:f>
        <x:v>179.50058418659728</x:v>
      </x:c>
      <x:c r="D49" s="97" t="n">
        <x:f>D48-C48</x:f>
        <x:v>105.26470471494076</x:v>
      </x:c>
      <x:c r="E49" s="97" t="n">
        <x:f>E48-D48</x:f>
        <x:v>106.86883689515525</x:v>
      </x:c>
      <x:c r="F49" s="97" t="n">
        <x:f>F48-E48</x:f>
        <x:v>109.27438632303256</x:v>
      </x:c>
      <x:c r="G49" s="97" t="n">
        <x:f>G48-F48</x:f>
        <x:v>113.4771186722678</x:v>
      </x:c>
      <x:c r="H49" s="4"/>
      <x:c r="I49" s="4"/>
      <x:c r="J49" s="4"/>
      <x:c r="K49" s="4"/>
      <x:c r="L49" s="4"/>
      <x:c r="M49" s="4"/>
      <x:c r="N49" s="6" t="str">
        <x:v>Implied EV / EBITDA</x:v>
      </x:c>
      <x:c r="O49" s="142" t="n">
        <x:f>'Assumptions'!$C$27</x:f>
        <x:v>10.215108639580073</x:v>
      </x:c>
    </x:row>
    <x:row r="50" ht="23" customHeight="1">
      <x:c r="A50" s="4"/>
      <x:c r="B50" s="6" t="str">
        <x:v>FCFF</x:v>
      </x:c>
      <x:c r="C50" s="97" t="n">
        <x:f>C45+C46-C47-C49</x:f>
        <x:v>4361.482600763404</x:v>
      </x:c>
      <x:c r="D50" s="97" t="n">
        <x:f>D45+D46-D47-D49</x:f>
        <x:v>4492.206763964659</x:v>
      </x:c>
      <x:c r="E50" s="97" t="n">
        <x:f>E45+E46-E47-E49</x:f>
        <x:v>4700.392672439405</x:v>
      </x:c>
      <x:c r="F50" s="97" t="n">
        <x:f>F45+F46-F47-F49</x:f>
        <x:v>4971.727144448436</x:v>
      </x:c>
      <x:c r="G50" s="97" t="n">
        <x:f>G45+G46-G47-G49</x:f>
        <x:v>5222.40146126654</x:v>
      </x:c>
      <x:c r="H50" s="4"/>
      <x:c r="I50" s="4"/>
      <x:c r="J50" s="4"/>
      <x:c r="K50" s="4"/>
      <x:c r="L50" s="4"/>
      <x:c r="M50" s="4"/>
      <x:c r="N50" s="6" t="str">
        <x:v>Equivalent terminal value</x:v>
      </x:c>
      <x:c r="O50" s="97" t="n">
        <x:f>G53*O49</x:f>
        <x:v>79033.3506382972</x:v>
      </x:c>
    </x:row>
    <x:row r="51" ht="23" customHeight="1">
      <x:c r="A51" s="4"/>
      <x:c r="B51" s="6" t="str">
        <x:v>Discount factor</x:v>
      </x:c>
      <x:c r="C51" s="144" t="n">
        <x:f>1/(1+'Assumptions'!$C$23)^C$28</x:f>
        <x:v>0.9291391244438034</x:v>
      </x:c>
      <x:c r="D51" s="144" t="n">
        <x:f>1/(1+'Assumptions'!$C$23)^D$28</x:f>
        <x:v>0.8561932360528317</x:v>
      </x:c>
      <x:c r="E51" s="144" t="n">
        <x:f>1/(1+'Assumptions'!$C$23)^E$28</x:f>
        <x:v>0.7891505368553651</x:v>
      </x:c>
      <x:c r="F51" s="144" t="n">
        <x:f>1/(1+'Assumptions'!$C$23)^F$28</x:f>
        <x:v>0.7273574978121915</x:v>
      </x:c>
      <x:c r="G51" s="144" t="n">
        <x:f>1/(1+'Assumptions'!$C$23)^G$28</x:f>
        <x:v>0.6704030535565307</x:v>
      </x:c>
      <x:c r="H51" s="4"/>
      <x:c r="I51" s="4"/>
      <x:c r="J51" s="4"/>
      <x:c r="K51" s="4"/>
      <x:c r="L51" s="4"/>
      <x:c r="M51" s="4"/>
      <x:c r="N51" s="6" t="str">
        <x:v>Equivalent value / share</x:v>
      </x:c>
      <x:c r="O51" s="138" t="n">
        <x:f>(O34+O50*G51+O41-O42)/O44</x:f>
        <x:v>173.25077483913776</x:v>
      </x:c>
    </x:row>
    <x:row r="52" ht="23" customHeight="1">
      <x:c r="A52" s="4"/>
      <x:c r="B52" s="6" t="str">
        <x:v>Present value of FCFF</x:v>
      </x:c>
      <x:c r="C52" s="97" t="n">
        <x:f>C50*C51*C$29</x:f>
        <x:v>3652.7329783797613</x:v>
      </x:c>
      <x:c r="D52" s="97" t="n">
        <x:f>D50*D51*D$29</x:f>
        <x:v>3846.197046257321</x:v>
      </x:c>
      <x:c r="E52" s="97" t="n">
        <x:f>E50*E51*E$29</x:f>
        <x:v>3709.317400886581</x:v>
      </x:c>
      <x:c r="F52" s="97" t="n">
        <x:f>F50*F51*F$29</x:f>
        <x:v>3616.2230155909665</x:v>
      </x:c>
      <x:c r="G52" s="97" t="n">
        <x:f>G50*G51*G$29</x:f>
        <x:v>3501.1138865311764</x:v>
      </x:c>
      <x:c r="H52" s="4"/>
      <x:c r="I52" s="4"/>
      <x:c r="J52" s="4"/>
      <x:c r="K52" s="4"/>
      <x:c r="L52" s="4"/>
      <x:c r="M52" s="4"/>
      <x:c r="N52" s="4"/>
      <x:c r="O52" s="4"/>
    </x:row>
    <x:row r="53" ht="23" customHeight="1">
      <x:c r="A53" s="4"/>
      <x:c r="B53" s="6" t="str">
        <x:v>EBITDA</x:v>
      </x:c>
      <x:c r="C53" s="97" t="n">
        <x:f>C43+C46</x:f>
        <x:v>6661.477468000001</x:v>
      </x:c>
      <x:c r="D53" s="97" t="n">
        <x:f>D43+D46</x:f>
        <x:v>6750.3758084</x:v>
      </x:c>
      <x:c r="E53" s="97" t="n">
        <x:f>E43+E46</x:f>
        <x:v>7019.388935105626</x:v>
      </x:c>
      <x:c r="F53" s="97" t="n">
        <x:f>F43+F46</x:f>
        <x:v>7376.049304111598</x:v>
      </x:c>
      <x:c r="G53" s="97" t="n">
        <x:f>G43+G46</x:f>
        <x:v>7736.907499159611</x:v>
      </x:c>
      <x:c r="H53" s="4"/>
      <x:c r="I53" s="4"/>
      <x:c r="J53" s="4"/>
      <x:c r="K53" s="4"/>
      <x:c r="L53" s="4"/>
      <x:c r="M53" s="4"/>
      <x:c r="N53" s="4"/>
      <x:c r="O53" s="4"/>
    </x:row>
    <x:row r="54" ht="23" customHeight="1">
      <x:c r="A54" s="4"/>
      <x:c r="B54" s="6" t="str">
        <x:v>EBITDA margin</x:v>
      </x:c>
      <x:c r="C54" s="136" t="n">
        <x:f>C53/C40</x:f>
        <x:v>0.29200000000000004</x:v>
      </x:c>
      <x:c r="D54" s="136" t="n">
        <x:f>D53/D40</x:f>
        <x:v>0.29000000000000004</x:v>
      </x:c>
      <x:c r="E54" s="136" t="n">
        <x:f>E53/E40</x:f>
        <x:v>0.29250000000000004</x:v>
      </x:c>
      <x:c r="F54" s="136" t="n">
        <x:f>F53/F40</x:f>
        <x:v>0.2960000000000001</x:v>
      </x:c>
      <x:c r="G54" s="136" t="n">
        <x:f>G53/G40</x:f>
        <x:v>0.299</x:v>
      </x:c>
      <x:c r="H54" s="4"/>
      <x:c r="I54" s="4"/>
      <x:c r="J54" s="4"/>
      <x:c r="K54" s="4"/>
      <x:c r="L54" s="4"/>
      <x:c r="M54" s="4"/>
      <x:c r="N54" s="4"/>
      <x:c r="O54" s="4"/>
    </x:row>
    <x:row r="55" ht="23" customHeight="1">
      <x:c r="A55" s="4"/>
      <x:c r="B55" s="4"/>
      <x:c r="C55" s="4"/>
      <x:c r="D55" s="4"/>
      <x:c r="E55" s="4"/>
      <x:c r="F55" s="4"/>
      <x:c r="G55" s="4"/>
      <x:c r="H55" s="4"/>
      <x:c r="I55" s="4"/>
      <x:c r="J55" s="4"/>
      <x:c r="K55" s="4"/>
      <x:c r="L55" s="4"/>
      <x:c r="M55" s="4"/>
      <x:c r="N55" s="6" t="str">
        <x:v>FY2032 terminal FCFF</x:v>
      </x:c>
      <x:c r="O55" s="101" t="n">
        <x:f>G45*(1+O35)*(1-O35/'Assumptions'!$C$75)</x:f>
        <x:v>4936.069510267815</x:v>
      </x:c>
    </x:row>
    <x:row r="56" ht="23" customHeight="1">
      <x:c r="A56" s="4"/>
      <x:c r="B56" s="4"/>
      <x:c r="C56" s="4"/>
      <x:c r="D56" s="4"/>
      <x:c r="E56" s="4"/>
      <x:c r="F56" s="4"/>
      <x:c r="G56" s="4"/>
      <x:c r="H56" s="4"/>
      <x:c r="I56" s="4"/>
      <x:c r="J56" s="4"/>
      <x:c r="K56" s="4"/>
      <x:c r="L56" s="4"/>
      <x:c r="M56" s="4"/>
      <x:c r="N56" s="6" t="str">
        <x:v>Terminal reinvestment rate</x:v>
      </x:c>
      <x:c r="O56" s="199" t="n">
        <x:f>O35/'Assumptions'!$C$75</x:f>
        <x:v>0.11249999999999999</x:v>
      </x:c>
    </x:row>
    <x:row r="57" ht="23" customHeight="1">
      <x:c r="A57" s="4"/>
      <x:c r="B57" s="4"/>
      <x:c r="C57" s="4"/>
      <x:c r="D57" s="4"/>
      <x:c r="E57" s="4"/>
      <x:c r="F57" s="4"/>
      <x:c r="G57" s="4"/>
      <x:c r="H57" s="4"/>
      <x:c r="I57" s="4"/>
      <x:c r="J57" s="4"/>
      <x:c r="K57" s="4"/>
      <x:c r="L57" s="4"/>
      <x:c r="M57" s="4"/>
      <x:c r="N57" s="6" t="str">
        <x:v>FY2032 net reinvestment</x:v>
      </x:c>
      <x:c r="O57" s="101" t="n">
        <x:f>G45*(1+O35)*O35/'Assumptions'!$C$75</x:f>
        <x:v>625.6989520057792</x:v>
      </x:c>
    </x:row>
    <x:row r="58" ht="23" customHeight="1">
      <x:c r="A58" s="4"/>
      <x:c r="B58" s="118" t="str">
        <x:v>Net client-funds contribution</x:v>
      </x:c>
      <x:c r="C58" s="153" t="n">
        <x:f>C37-C59</x:f>
        <x:v>1359.0398400000001</x:v>
      </x:c>
      <x:c r="D58" s="153" t="n">
        <x:f>D37-D59</x:f>
        <x:v>1223.1358559999999</x:v>
      </x:c>
      <x:c r="E58" s="153" t="n">
        <x:f>E37-E59</x:f>
        <x:v>1175.8412695680001</x:v>
      </x:c>
      <x:c r="F58" s="153" t="n">
        <x:f>F37-F59</x:f>
        <x:v>1211.1165076550403</x:v>
      </x:c>
      <x:c r="G58" s="153" t="n">
        <x:f>G37-G59</x:f>
        <x:v>1247.4500028846915</x:v>
      </x:c>
      <x:c r="H58" s="4"/>
      <x:c r="I58" s="4"/>
      <x:c r="J58" s="4"/>
      <x:c r="K58" s="4"/>
      <x:c r="L58" s="4"/>
      <x:c r="M58" s="4"/>
      <x:c r="N58" s="4"/>
      <x:c r="O58" s="4"/>
    </x:row>
    <x:row r="59" ht="23" customHeight="1">
      <x:c r="A59" s="4"/>
      <x:c r="B59" s="118" t="str">
        <x:v>Client-funds expense allowance</x:v>
      </x:c>
      <x:c r="C59" s="154" t="n">
        <x:f>C37*'Assumptions'!$G$12</x:f>
        <x:v>42.032160000000005</x:v>
      </x:c>
      <x:c r="D59" s="154" t="n">
        <x:f>D37*'Assumptions'!$G$12</x:f>
        <x:v>37.828944</x:v>
      </x:c>
      <x:c r="E59" s="154" t="n">
        <x:f>E37*'Assumptions'!$G$12</x:f>
        <x:v>36.366224832</x:v>
      </x:c>
      <x:c r="F59" s="154" t="n">
        <x:f>F37*'Assumptions'!$G$12</x:f>
        <x:v>37.457211576960006</x:v>
      </x:c>
      <x:c r="G59" s="154" t="n">
        <x:f>G37*'Assumptions'!$G$12</x:f>
        <x:v>38.580927924268806</x:v>
      </x:c>
      <x:c r="H59" s="4"/>
      <x:c r="I59" s="4"/>
      <x:c r="J59" s="4"/>
      <x:c r="K59" s="4"/>
      <x:c r="L59" s="4"/>
      <x:c r="M59" s="4"/>
      <x:c r="N59" s="4"/>
      <x:c r="O59" s="4"/>
    </x:row>
    <x:row r="60" ht="23" customHeight="1">
      <x:c r="A60" s="4"/>
      <x:c r="B60" s="6" t="str">
        <x:v>Upside Case</x:v>
      </x:c>
      <x:c r="C60" s="4"/>
      <x:c r="D60" s="4"/>
      <x:c r="E60" s="4"/>
      <x:c r="F60" s="4"/>
      <x:c r="G60" s="4"/>
      <x:c r="H60" s="4"/>
      <x:c r="I60" s="4"/>
      <x:c r="J60" s="4"/>
      <x:c r="K60" s="4"/>
      <x:c r="L60" s="4"/>
      <x:c r="M60" s="4"/>
      <x:c r="N60" s="6" t="str">
        <x:v>Upside Case Valuation</x:v>
      </x:c>
      <x:c r="O60" s="4"/>
    </x:row>
    <x:row r="61" ht="34" customHeight="1">
      <x:c r="A61" s="4"/>
      <x:c r="B61" s="40" t="str">
        <x:v>Metric</x:v>
      </x:c>
      <x:c r="C61" s="40" t="str">
        <x:v>FY2027E</x:v>
      </x:c>
      <x:c r="D61" s="40" t="str">
        <x:v>FY2028E</x:v>
      </x:c>
      <x:c r="E61" s="40" t="str">
        <x:v>FY2029E</x:v>
      </x:c>
      <x:c r="F61" s="40" t="str">
        <x:v>FY2030E</x:v>
      </x:c>
      <x:c r="G61" s="40" t="str">
        <x:v>FY2031E</x:v>
      </x:c>
      <x:c r="H61" s="42"/>
      <x:c r="I61" s="42"/>
      <x:c r="J61" s="42"/>
      <x:c r="K61" s="42"/>
      <x:c r="L61" s="42"/>
      <x:c r="M61" s="42"/>
      <x:c r="N61" s="42"/>
      <x:c r="O61" s="42"/>
    </x:row>
    <x:row r="62" ht="23" customHeight="1">
      <x:c r="A62" s="4"/>
      <x:c r="B62" s="6" t="str">
        <x:v>Core HCM revenue</x:v>
      </x:c>
      <x:c r="C62" s="101" t="n">
        <x:f>'Assumptions'!$C$13*(1+'Assumptions'!C62)</x:f>
        <x:v>14285.408</x:v>
      </x:c>
      <x:c r="D62" s="101" t="n">
        <x:f>C62*(1+'Assumptions'!D62)</x:f>
        <x:v>15213.959519999999</x:v>
      </x:c>
      <x:c r="E62" s="101" t="n">
        <x:f>D62*(1+'Assumptions'!E62)</x:f>
        <x:v>16126.7970912</x:v>
      </x:c>
      <x:c r="F62" s="101" t="n">
        <x:f>E62*(1+'Assumptions'!F62)</x:f>
        <x:v>17062.1513224896</x:v>
      </x:c>
      <x:c r="G62" s="101" t="n">
        <x:f>F62*(1+'Assumptions'!G62)</x:f>
        <x:v>18000.56964522653</x:v>
      </x:c>
      <x:c r="H62" s="4"/>
      <x:c r="I62" s="4"/>
      <x:c r="J62" s="4"/>
      <x:c r="K62" s="4"/>
      <x:c r="L62" s="4"/>
      <x:c r="M62" s="4"/>
      <x:c r="N62" s="6" t="str">
        <x:v>PV explicit FCFF</x:v>
      </x:c>
      <x:c r="O62" s="97" t="n">
        <x:f>SUM(C80:G80)</x:f>
        <x:v>22722.68993568515</x:v>
      </x:c>
    </x:row>
    <x:row r="63" ht="23" customHeight="1">
      <x:c r="A63" s="4"/>
      <x:c r="B63" s="6" t="str">
        <x:v>Average client-funds balance</x:v>
      </x:c>
      <x:c r="C63" s="101" t="n">
        <x:f>'Assumptions'!$C$14*(1+'Assumptions'!C63)</x:f>
        <x:v>42420</x:v>
      </x:c>
      <x:c r="D63" s="101" t="n">
        <x:f>C63*(1+'Assumptions'!D63)</x:f>
        <x:v>44541</x:v>
      </x:c>
      <x:c r="E63" s="101" t="n">
        <x:f>D63*(1+'Assumptions'!E63)</x:f>
        <x:v>46768.05</x:v>
      </x:c>
      <x:c r="F63" s="101" t="n">
        <x:f>E63*(1+'Assumptions'!F63)</x:f>
        <x:v>48872.61225</x:v>
      </x:c>
      <x:c r="G63" s="101" t="n">
        <x:f>F63*(1+'Assumptions'!G63)</x:f>
        <x:v>51071.87980125</x:v>
      </x:c>
      <x:c r="H63" s="4"/>
      <x:c r="I63" s="4"/>
      <x:c r="J63" s="4"/>
      <x:c r="K63" s="4"/>
      <x:c r="L63" s="4"/>
      <x:c r="M63" s="4"/>
      <x:c r="N63" s="6" t="str">
        <x:v>Terminal growth</x:v>
      </x:c>
      <x:c r="O63" s="133" t="n">
        <x:f>'Assumptions'!$C$26</x:f>
        <x:v>0.03</x:v>
      </x:c>
    </x:row>
    <x:row r="64" ht="23" customHeight="1">
      <x:c r="A64" s="4"/>
      <x:c r="B64" s="6" t="str">
        <x:v>Client-funds yield</x:v>
      </x:c>
      <x:c r="C64" s="133" t="n">
        <x:f>'Assumptions'!C64</x:f>
        <x:v>0.039</x:v>
      </x:c>
      <x:c r="D64" s="133" t="n">
        <x:f>'Assumptions'!D64</x:f>
        <x:v>0.04</x:v>
      </x:c>
      <x:c r="E64" s="133" t="n">
        <x:f>'Assumptions'!E64</x:f>
        <x:v>0.039</x:v>
      </x:c>
      <x:c r="F64" s="133" t="n">
        <x:f>'Assumptions'!F64</x:f>
        <x:v>0.038</x:v>
      </x:c>
      <x:c r="G64" s="133" t="n">
        <x:f>'Assumptions'!G64</x:f>
        <x:v>0.037</x:v>
      </x:c>
      <x:c r="H64" s="4"/>
      <x:c r="I64" s="4"/>
      <x:c r="J64" s="4"/>
      <x:c r="K64" s="4"/>
      <x:c r="L64" s="4"/>
      <x:c r="M64" s="4"/>
      <x:c r="N64" s="6" t="str">
        <x:v>WACC</x:v>
      </x:c>
      <x:c r="O64" s="133" t="n">
        <x:f>'Assumptions'!$C$25</x:f>
        <x:v>0.0759555263113942</x:v>
      </x:c>
    </x:row>
    <x:row r="65" ht="23" customHeight="1">
      <x:c r="A65" s="4"/>
      <x:c r="B65" s="6" t="str">
        <x:v>Client-funds interest</x:v>
      </x:c>
      <x:c r="C65" s="97" t="n">
        <x:f>C63*C64</x:f>
        <x:v>1654.38</x:v>
      </x:c>
      <x:c r="D65" s="97" t="n">
        <x:f>D63*D64</x:f>
        <x:v>1781.64</x:v>
      </x:c>
      <x:c r="E65" s="97" t="n">
        <x:f>E63*E64</x:f>
        <x:v>1823.95395</x:v>
      </x:c>
      <x:c r="F65" s="97" t="n">
        <x:f>F63*F64</x:f>
        <x:v>1857.1592655</x:v>
      </x:c>
      <x:c r="G65" s="97" t="n">
        <x:f>G63*G64</x:f>
        <x:v>1889.6595526462497</x:v>
      </x:c>
      <x:c r="H65" s="4"/>
      <x:c r="I65" s="4"/>
      <x:c r="J65" s="4"/>
      <x:c r="K65" s="4"/>
      <x:c r="L65" s="4"/>
      <x:c r="M65" s="4"/>
      <x:c r="N65" s="6" t="str">
        <x:v>Final explicit-year FCFF</x:v>
      </x:c>
      <x:c r="O65" s="97" t="n">
        <x:f>G78</x:f>
        <x:v>6674.3571490543545</x:v>
      </x:c>
    </x:row>
    <x:row r="66" ht="23" customHeight="1">
      <x:c r="A66" s="4"/>
      <x:c r="B66" s="6" t="str">
        <x:v>PEO revenue ex pass-through</x:v>
      </x:c>
      <x:c r="C66" s="101" t="n">
        <x:f>'Assumptions'!$C$15*(1+'Assumptions'!C65)</x:f>
        <x:v>2633.925</x:v>
      </x:c>
      <x:c r="D66" s="101" t="n">
        <x:f>C66*(1+'Assumptions'!D65)</x:f>
        <x:v>2791.9605</x:v>
      </x:c>
      <x:c r="E66" s="101" t="n">
        <x:f>D66*(1+'Assumptions'!E65)</x:f>
        <x:v>2945.5183275</x:v>
      </x:c>
      <x:c r="F66" s="101" t="n">
        <x:f>E66*(1+'Assumptions'!F65)</x:f>
        <x:v>3092.794243875</x:v>
      </x:c>
      <x:c r="G66" s="101" t="n">
        <x:f>F66*(1+'Assumptions'!G65)</x:f>
        <x:v>3241.2483675810004</x:v>
      </x:c>
      <x:c r="H66" s="4"/>
      <x:c r="I66" s="4"/>
      <x:c r="J66" s="4"/>
      <x:c r="K66" s="4"/>
      <x:c r="L66" s="4"/>
      <x:c r="M66" s="4"/>
      <x:c r="N66" s="6" t="str">
        <x:v>Terminal value</x:v>
      </x:c>
      <x:c r="O66" s="97" t="n">
        <x:f>IF(O64&gt;O63,O83/(O64-O63),"INPUT REQUIRED: WACC must exceed growth")</x:f>
        <x:v>137789.7020429763</x:v>
      </x:c>
    </x:row>
    <x:row r="67" ht="23" customHeight="1">
      <x:c r="A67" s="4"/>
      <x:c r="B67" s="6" t="str">
        <x:v>PEO pass-through revenue</x:v>
      </x:c>
      <x:c r="C67" s="101" t="n">
        <x:f>'Assumptions'!$C$16*(1+'Assumptions'!C66)</x:f>
        <x:v>4975.884000000001</x:v>
      </x:c>
      <x:c r="D67" s="101" t="n">
        <x:f>C67*(1+'Assumptions'!D66)</x:f>
        <x:v>5324.195880000001</x:v>
      </x:c>
      <x:c r="E67" s="101" t="n">
        <x:f>D67*(1+'Assumptions'!E66)</x:f>
        <x:v>5670.2686122000005</x:v>
      </x:c>
      <x:c r="F67" s="101" t="n">
        <x:f>E67*(1+'Assumptions'!F66)</x:f>
        <x:v>6010.4847289320005</x:v>
      </x:c>
      <x:c r="G67" s="101" t="n">
        <x:f>F67*(1+'Assumptions'!G66)</x:f>
        <x:v>6341.06138902326</x:v>
      </x:c>
      <x:c r="H67" s="4"/>
      <x:c r="I67" s="4"/>
      <x:c r="J67" s="4"/>
      <x:c r="K67" s="4"/>
      <x:c r="L67" s="4"/>
      <x:c r="M67" s="4"/>
      <x:c r="N67" s="6" t="str">
        <x:v>PV terminal value</x:v>
      </x:c>
      <x:c r="O67" s="97" t="n">
        <x:f>O66*G79</x:f>
        <x:v>96226.3314305721</x:v>
      </x:c>
    </x:row>
    <x:row r="68" ht="23" customHeight="1">
      <x:c r="A68" s="4"/>
      <x:c r="B68" s="6" t="str">
        <x:v>Total revenue</x:v>
      </x:c>
      <x:c r="C68" s="97" t="n">
        <x:f>SUM(C62,C65:C67)</x:f>
        <x:v>23549.597</x:v>
      </x:c>
      <x:c r="D68" s="97" t="n">
        <x:f>SUM(D62,D65:D67)</x:f>
        <x:v>25111.7559</x:v>
      </x:c>
      <x:c r="E68" s="97" t="n">
        <x:f>SUM(E62,E65:E67)</x:f>
        <x:v>26566.5379809</x:v>
      </x:c>
      <x:c r="F68" s="97" t="n">
        <x:f>SUM(F62,F65:F67)</x:f>
        <x:v>28022.5895607966</x:v>
      </x:c>
      <x:c r="G68" s="97" t="n">
        <x:f>SUM(G62,G65:G67)</x:f>
        <x:v>29472.538954477037</x:v>
      </x:c>
      <x:c r="H68" s="4"/>
      <x:c r="I68" s="4"/>
      <x:c r="J68" s="4"/>
      <x:c r="K68" s="4"/>
      <x:c r="L68" s="4"/>
      <x:c r="M68" s="4"/>
      <x:c r="N68" s="6" t="str">
        <x:v>Enterprise value</x:v>
      </x:c>
      <x:c r="O68" s="97" t="n">
        <x:f>O62+O67</x:f>
        <x:v>118949.02136625725</x:v>
      </x:c>
    </x:row>
    <x:row r="69" ht="23" customHeight="1">
      <x:c r="A69" s="4"/>
      <x:c r="B69" s="6" t="str">
        <x:v>Revenue growth</x:v>
      </x:c>
      <x:c r="C69" s="133" t="n">
        <x:f>C68/'Assumptions'!$C$17-1</x:f>
        <x:v>0.07300167673619673</x:v>
      </x:c>
      <x:c r="D69" s="136" t="n">
        <x:f>D68/C68-1</x:f>
        <x:v>0.06633484640947351</x:v>
      </x:c>
      <x:c r="E69" s="136" t="n">
        <x:f>E68/D68-1</x:f>
        <x:v>0.05793231212875871</x:v>
      </x:c>
      <x:c r="F69" s="136" t="n">
        <x:f>F68/E68-1</x:f>
        <x:v>0.054807727711583265</x:v>
      </x:c>
      <x:c r="G69" s="136" t="n">
        <x:f>G68/F68-1</x:f>
        <x:v>0.05174216289093092</x:v>
      </x:c>
      <x:c r="H69" s="4"/>
      <x:c r="I69" s="4"/>
      <x:c r="J69" s="4"/>
      <x:c r="K69" s="4"/>
      <x:c r="L69" s="4"/>
      <x:c r="M69" s="4"/>
      <x:c r="N69" s="6" t="str">
        <x:v>Excess cash</x:v>
      </x:c>
      <x:c r="O69" s="101" t="n">
        <x:f>'Assumptions'!$C$10</x:f>
        <x:v>2729.4000000000005</x:v>
      </x:c>
    </x:row>
    <x:row r="70" ht="23" customHeight="1">
      <x:c r="A70" s="4"/>
      <x:c r="B70" s="6" t="str">
        <x:v>EBIT margin</x:v>
      </x:c>
      <x:c r="C70" s="136" t="n">
        <x:f>C71/C68</x:f>
        <x:v>0.275</x:v>
      </x:c>
      <x:c r="D70" s="136" t="n">
        <x:f>D71/D68</x:f>
        <x:v>0.283</x:v>
      </x:c>
      <x:c r="E70" s="136" t="n">
        <x:f>E71/E68</x:f>
        <x:v>0.29</x:v>
      </x:c>
      <x:c r="F70" s="136" t="n">
        <x:f>F71/F68</x:f>
        <x:v>0.296</x:v>
      </x:c>
      <x:c r="G70" s="136" t="n">
        <x:f>G71/G68</x:f>
        <x:v>0.30099999999999993</x:v>
      </x:c>
      <x:c r="H70" s="4"/>
      <x:c r="I70" s="4"/>
      <x:c r="J70" s="4"/>
      <x:c r="K70" s="4"/>
      <x:c r="L70" s="4"/>
      <x:c r="M70" s="4"/>
      <x:c r="N70" s="6" t="str">
        <x:v>Corporate debt</x:v>
      </x:c>
      <x:c r="O70" s="101" t="n">
        <x:f>'Assumptions'!$C$11</x:f>
        <x:v>4964.1</x:v>
      </x:c>
    </x:row>
    <x:row r="71" ht="23" customHeight="1">
      <x:c r="A71" s="4"/>
      <x:c r="B71" s="6" t="str">
        <x:v>EBIT</x:v>
      </x:c>
      <x:c r="C71" s="101" t="n">
        <x:f>(C62+C66)*'PEO Calibration'!C31+C84</x:f>
        <x:v>6476.139175000001</x:v>
      </x:c>
      <x:c r="D71" s="101" t="n">
        <x:f>(D62+D66)*'PEO Calibration'!D31+D84</x:f>
        <x:v>7106.626919699999</x:v>
      </x:c>
      <x:c r="E71" s="101" t="n">
        <x:f>(E62+E66)*'PEO Calibration'!E31+E84</x:f>
        <x:v>7704.296014461</x:v>
      </x:c>
      <x:c r="F71" s="101" t="n">
        <x:f>(F62+F66)*'PEO Calibration'!F31+F84</x:f>
        <x:v>8294.686509995794</x:v>
      </x:c>
      <x:c r="G71" s="101" t="n">
        <x:f>(G62+G66)*'PEO Calibration'!G31+G84</x:f>
        <x:v>8871.234225297587</x:v>
      </x:c>
      <x:c r="H71" s="4"/>
      <x:c r="I71" s="4"/>
      <x:c r="J71" s="4"/>
      <x:c r="K71" s="4"/>
      <x:c r="L71" s="4"/>
      <x:c r="M71" s="4"/>
      <x:c r="N71" s="6" t="str">
        <x:v>Equity value</x:v>
      </x:c>
      <x:c r="O71" s="97" t="n">
        <x:f>O68+O69-O70</x:f>
        <x:v>116714.32136625724</x:v>
      </x:c>
    </x:row>
    <x:row r="72" ht="23" customHeight="1">
      <x:c r="A72" s="4"/>
      <x:c r="B72" s="6" t="str">
        <x:v>Cash taxes</x:v>
      </x:c>
      <x:c r="C72" s="101" t="n">
        <x:f>C71*'Assumptions'!$C$12</x:f>
        <x:v>1489.5120102500002</x:v>
      </x:c>
      <x:c r="D72" s="101" t="n">
        <x:f>D71*'Assumptions'!$C$12</x:f>
        <x:v>1634.5241915309998</x:v>
      </x:c>
      <x:c r="E72" s="101" t="n">
        <x:f>E71*'Assumptions'!$C$12</x:f>
        <x:v>1771.98808332603</x:v>
      </x:c>
      <x:c r="F72" s="101" t="n">
        <x:f>F71*'Assumptions'!$C$12</x:f>
        <x:v>1907.7778972990327</x:v>
      </x:c>
      <x:c r="G72" s="101" t="n">
        <x:f>G71*'Assumptions'!$C$12</x:f>
        <x:v>2040.383871818445</x:v>
      </x:c>
      <x:c r="H72" s="4"/>
      <x:c r="I72" s="4"/>
      <x:c r="J72" s="4"/>
      <x:c r="K72" s="4"/>
      <x:c r="L72" s="4"/>
      <x:c r="M72" s="4"/>
      <x:c r="N72" s="6" t="str">
        <x:v>Diluted shares</x:v>
      </x:c>
      <x:c r="O72" s="101" t="n">
        <x:f>'Assumptions'!$C$7</x:f>
        <x:v>398.7</x:v>
      </x:c>
    </x:row>
    <x:row r="73" ht="23" customHeight="1">
      <x:c r="A73" s="4"/>
      <x:c r="B73" s="6" t="str">
        <x:v>NOPAT</x:v>
      </x:c>
      <x:c r="C73" s="97" t="n">
        <x:f>C71-C72</x:f>
        <x:v>4986.627164750001</x:v>
      </x:c>
      <x:c r="D73" s="97" t="n">
        <x:f>D71-D72</x:f>
        <x:v>5472.102728168999</x:v>
      </x:c>
      <x:c r="E73" s="97" t="n">
        <x:f>E71-E72</x:f>
        <x:v>5932.30793113497</x:v>
      </x:c>
      <x:c r="F73" s="97" t="n">
        <x:f>F71-F72</x:f>
        <x:v>6386.908612696761</x:v>
      </x:c>
      <x:c r="G73" s="97" t="n">
        <x:f>G71-G72</x:f>
        <x:v>6830.850353479142</x:v>
      </x:c>
      <x:c r="H73" s="4"/>
      <x:c r="I73" s="4"/>
      <x:c r="J73" s="4"/>
      <x:c r="K73" s="4"/>
      <x:c r="L73" s="4"/>
      <x:c r="M73" s="4"/>
      <x:c r="N73" s="6" t="str">
        <x:v>PGR value / share</x:v>
      </x:c>
      <x:c r="O73" s="138" t="n">
        <x:f>O71/O72</x:f>
        <x:v>292.7371993134117</x:v>
      </x:c>
    </x:row>
    <x:row r="74" ht="23" customHeight="1">
      <x:c r="A74" s="4"/>
      <x:c r="B74" s="6" t="str">
        <x:v>D&amp;A</x:v>
      </x:c>
      <x:c r="C74" s="101" t="n">
        <x:f>(C62+C66)*'PEO Calibration'!C32</x:f>
        <x:v>600.5147235</x:v>
      </x:c>
      <x:c r="D74" s="101" t="n">
        <x:f>(D62+D66)*'PEO Calibration'!D32</x:f>
        <x:v>627.7938975000001</x:v>
      </x:c>
      <x:c r="E74" s="101" t="n">
        <x:f>(E62+E66)*'PEO Calibration'!E32</x:f>
        <x:v>650.8801805320501</x:v>
      </x:c>
      <x:c r="F74" s="101" t="n">
        <x:f>(F62+F66)*'PEO Calibration'!F32</x:f>
        <x:v>672.5421494591185</x:v>
      </x:c>
      <x:c r="G74" s="101" t="n">
        <x:f>(G62+G66)*'PEO Calibration'!G32</x:f>
        <x:v>692.6046654302105</x:v>
      </x:c>
      <x:c r="H74" s="4"/>
      <x:c r="I74" s="4"/>
      <x:c r="J74" s="4"/>
      <x:c r="K74" s="4"/>
      <x:c r="L74" s="4"/>
      <x:c r="M74" s="4"/>
      <x:c r="N74" s="6" t="str">
        <x:v>Current price</x:v>
      </x:c>
      <x:c r="O74" s="140" t="n">
        <x:f>'Assumptions'!$C$6</x:f>
        <x:v>270.09</x:v>
      </x:c>
    </x:row>
    <x:row r="75" ht="23" customHeight="1">
      <x:c r="A75" s="4"/>
      <x:c r="B75" s="6" t="str">
        <x:v>Capital expenditures</x:v>
      </x:c>
      <x:c r="C75" s="101" t="n">
        <x:f>(C62+C66)*'PEO Calibration'!C33</x:f>
        <x:v>682.9383130000001</x:v>
      </x:c>
      <x:c r="D75" s="101" t="n">
        <x:f>(D62+D66)*'PEO Calibration'!D33</x:f>
        <x:v>703.1291652</x:v>
      </x:c>
      <x:c r="E75" s="101" t="n">
        <x:f>(E62+E66)*'PEO Calibration'!E33</x:f>
        <x:v>717.2965254843</x:v>
      </x:c>
      <x:c r="F75" s="101" t="n">
        <x:f>(F62+F66)*'PEO Calibration'!F33</x:f>
        <x:v>728.5873285807116</x:v>
      </x:c>
      <x:c r="G75" s="101" t="n">
        <x:f>(G62+G66)*'PEO Calibration'!G33</x:f>
        <x:v>736.8134738619259</x:v>
      </x:c>
      <x:c r="H75" s="4"/>
      <x:c r="I75" s="4"/>
      <x:c r="J75" s="4"/>
      <x:c r="K75" s="4"/>
      <x:c r="L75" s="4"/>
      <x:c r="M75" s="4"/>
      <x:c r="N75" s="6" t="str">
        <x:v>Upside / (downside)</x:v>
      </x:c>
      <x:c r="O75" s="136" t="n">
        <x:f>O73/O74-1</x:f>
        <x:v>0.08385056578700323</x:v>
      </x:c>
    </x:row>
    <x:row r="76" ht="28" customHeight="1">
      <x:c r="A76" s="4"/>
      <x:c r="B76" s="7" t="str">
        <x:v>Operating capital incl. contracts</x:v>
      </x:c>
      <x:c r="C76" s="101" t="n">
        <x:f>(C62+C66)*'Assumptions'!C70+'Drivers'!I55</x:f>
        <x:v>2884.034138093298</x:v>
      </x:c>
      <x:c r="D76" s="101" t="n">
        <x:f>(D62+D66)*'Assumptions'!D70+'Drivers'!J55</x:f>
        <x:v>2974.585586261643</x:v>
      </x:c>
      <x:c r="E76" s="101" t="n">
        <x:f>(E62+E66)*'Assumptions'!E70+'Drivers'!K55</x:f>
        <x:v>3072.8671615650082</x:v>
      </x:c>
      <x:c r="F76" s="101" t="n">
        <x:f>(F62+F66)*'Assumptions'!F70+'Drivers'!L55</x:f>
        <x:v>3177.9680016019547</x:v>
      </x:c>
      <x:c r="G76" s="101" t="n">
        <x:f>(G62+G66)*'Assumptions'!G70+'Drivers'!M55</x:f>
        <x:v>3290.252397595027</x:v>
      </x:c>
      <x:c r="H76" s="4"/>
      <x:c r="I76" s="4"/>
      <x:c r="J76" s="4"/>
      <x:c r="K76" s="4"/>
      <x:c r="L76" s="4"/>
      <x:c r="M76" s="4"/>
      <x:c r="N76" s="6" t="str">
        <x:v>Terminal value / EV</x:v>
      </x:c>
      <x:c r="O76" s="136" t="n">
        <x:f>O67/O68</x:f>
        <x:v>0.8089711905596981</x:v>
      </x:c>
    </x:row>
    <x:row r="77" ht="23" customHeight="1">
      <x:c r="A77" s="4"/>
      <x:c r="B77" s="6" t="str">
        <x:v>Change in operating capital</x:v>
      </x:c>
      <x:c r="C77" s="101" t="n">
        <x:f>C76-'Assumptions'!$C$19</x:f>
        <x:v>39.56663809329848</x:v>
      </x:c>
      <x:c r="D77" s="97" t="n">
        <x:f>D76-C76</x:f>
        <x:v>90.5514481683449</x:v>
      </x:c>
      <x:c r="E77" s="97" t="n">
        <x:f>E76-D76</x:f>
        <x:v>98.28157530336512</x:v>
      </x:c>
      <x:c r="F77" s="97" t="n">
        <x:f>F76-E76</x:f>
        <x:v>105.10084003694647</x:v>
      </x:c>
      <x:c r="G77" s="97" t="n">
        <x:f>G76-F76</x:f>
        <x:v>112.2843959930724</x:v>
      </x:c>
      <x:c r="H77" s="4"/>
      <x:c r="I77" s="4"/>
      <x:c r="J77" s="4"/>
      <x:c r="K77" s="4"/>
      <x:c r="L77" s="4"/>
      <x:c r="M77" s="4"/>
      <x:c r="N77" s="6" t="str">
        <x:v>Implied EV / EBITDA</x:v>
      </x:c>
      <x:c r="O77" s="142" t="n">
        <x:f>'Assumptions'!$C$28</x:f>
        <x:v>14.407363362902768</x:v>
      </x:c>
    </x:row>
    <x:row r="78" ht="23" customHeight="1">
      <x:c r="A78" s="4"/>
      <x:c r="B78" s="6" t="str">
        <x:v>FCFF</x:v>
      </x:c>
      <x:c r="C78" s="97" t="n">
        <x:f>C73+C74-C75-C77</x:f>
        <x:v>4864.636937156702</x:v>
      </x:c>
      <x:c r="D78" s="97" t="n">
        <x:f>D73+D74-D75-D77</x:f>
        <x:v>5306.216012300654</x:v>
      </x:c>
      <x:c r="E78" s="97" t="n">
        <x:f>E73+E74-E75-E77</x:f>
        <x:v>5767.610010879354</x:v>
      </x:c>
      <x:c r="F78" s="97" t="n">
        <x:f>F73+F74-F75-F77</x:f>
        <x:v>6225.762593538221</x:v>
      </x:c>
      <x:c r="G78" s="97" t="n">
        <x:f>G73+G74-G75-G77</x:f>
        <x:v>6674.3571490543545</x:v>
      </x:c>
      <x:c r="H78" s="4"/>
      <x:c r="I78" s="4"/>
      <x:c r="J78" s="4"/>
      <x:c r="K78" s="4"/>
      <x:c r="L78" s="4"/>
      <x:c r="M78" s="4"/>
      <x:c r="N78" s="6" t="str">
        <x:v>Equivalent terminal value</x:v>
      </x:c>
      <x:c r="O78" s="97" t="n">
        <x:f>G81*O77</x:f>
        <x:v>137789.7020429763</x:v>
      </x:c>
    </x:row>
    <x:row r="79" ht="23" customHeight="1">
      <x:c r="A79" s="4"/>
      <x:c r="B79" s="6" t="str">
        <x:v>Discount factor</x:v>
      </x:c>
      <x:c r="C79" s="144" t="n">
        <x:f>1/(1+'Assumptions'!$C$25)^C$28</x:f>
        <x:v>0.9361416278997985</x:v>
      </x:c>
      <x:c r="D79" s="144" t="n">
        <x:f>1/(1+'Assumptions'!$C$25)^D$28</x:f>
        <x:v>0.8698815695897165</x:v>
      </x:c>
      <x:c r="E79" s="144" t="n">
        <x:f>1/(1+'Assumptions'!$C$25)^E$28</x:f>
        <x:v>0.8084735366078342</x:v>
      </x:c>
      <x:c r="F79" s="144" t="n">
        <x:f>1/(1+'Assumptions'!$C$25)^F$28</x:f>
        <x:v>0.7514005150189195</x:v>
      </x:c>
      <x:c r="G79" s="144" t="n">
        <x:f>1/(1+'Assumptions'!$C$25)^G$28</x:f>
        <x:v>0.6983564809550087</x:v>
      </x:c>
      <x:c r="H79" s="4"/>
      <x:c r="I79" s="4"/>
      <x:c r="J79" s="4"/>
      <x:c r="K79" s="4"/>
      <x:c r="L79" s="4"/>
      <x:c r="M79" s="4"/>
      <x:c r="N79" s="6" t="str">
        <x:v>Equivalent value / share</x:v>
      </x:c>
      <x:c r="O79" s="138" t="n">
        <x:f>(O62+O78*G79+O69-O70)/O72</x:f>
        <x:v>292.7371993134117</x:v>
      </x:c>
    </x:row>
    <x:row r="80" ht="23" customHeight="1">
      <x:c r="A80" s="4"/>
      <x:c r="B80" s="6" t="str">
        <x:v>Present value of FCFF</x:v>
      </x:c>
      <x:c r="C80" s="97" t="n">
        <x:f>C78*C79*C$29</x:f>
        <x:v>4104.828568631942</x:v>
      </x:c>
      <x:c r="D80" s="97" t="n">
        <x:f>D78*D79*D$29</x:f>
        <x:v>4615.779513362179</x:v>
      </x:c>
      <x:c r="E80" s="97" t="n">
        <x:f>E78*E79*E$29</x:f>
        <x:v>4662.9600632703805</x:v>
      </x:c>
      <x:c r="F80" s="97" t="n">
        <x:f>F78*F79*F$29</x:f>
        <x:v>4678.041219170143</x:v>
      </x:c>
      <x:c r="G80" s="97" t="n">
        <x:f>G78*G79*G$29</x:f>
        <x:v>4661.080571250503</x:v>
      </x:c>
      <x:c r="H80" s="4"/>
      <x:c r="I80" s="4"/>
      <x:c r="J80" s="4"/>
      <x:c r="K80" s="4"/>
      <x:c r="L80" s="4"/>
      <x:c r="M80" s="4"/>
      <x:c r="N80" s="4"/>
      <x:c r="O80" s="4"/>
    </x:row>
    <x:row r="81" ht="23" customHeight="1">
      <x:c r="A81" s="4"/>
      <x:c r="B81" s="6" t="str">
        <x:v>EBITDA</x:v>
      </x:c>
      <x:c r="C81" s="97" t="n">
        <x:f>C71+C74</x:f>
        <x:v>7076.653898500001</x:v>
      </x:c>
      <x:c r="D81" s="97" t="n">
        <x:f>D71+D74</x:f>
        <x:v>7734.420817199999</x:v>
      </x:c>
      <x:c r="E81" s="97" t="n">
        <x:f>E71+E74</x:f>
        <x:v>8355.17619499305</x:v>
      </x:c>
      <x:c r="F81" s="97" t="n">
        <x:f>F71+F74</x:f>
        <x:v>8967.228659454913</x:v>
      </x:c>
      <x:c r="G81" s="97" t="n">
        <x:f>G71+G74</x:f>
        <x:v>9563.838890727797</x:v>
      </x:c>
      <x:c r="H81" s="4"/>
      <x:c r="I81" s="4"/>
      <x:c r="J81" s="4"/>
      <x:c r="K81" s="4"/>
      <x:c r="L81" s="4"/>
      <x:c r="M81" s="4"/>
      <x:c r="N81" s="4"/>
      <x:c r="O81" s="4"/>
    </x:row>
    <x:row r="82" ht="23" customHeight="1">
      <x:c r="A82" s="4"/>
      <x:c r="B82" s="6" t="str">
        <x:v>EBITDA margin</x:v>
      </x:c>
      <x:c r="C82" s="136" t="n">
        <x:f>C81/C68</x:f>
        <x:v>0.3005</x:v>
      </x:c>
      <x:c r="D82" s="136" t="n">
        <x:f>D81/D68</x:f>
        <x:v>0.30799999999999994</x:v>
      </x:c>
      <x:c r="E82" s="136" t="n">
        <x:f>E81/E68</x:f>
        <x:v>0.3145</x:v>
      </x:c>
      <x:c r="F82" s="136" t="n">
        <x:f>F81/F68</x:f>
        <x:v>0.32</x:v>
      </x:c>
      <x:c r="G82" s="136" t="n">
        <x:f>G81/G68</x:f>
        <x:v>0.32449999999999996</x:v>
      </x:c>
      <x:c r="H82" s="4"/>
      <x:c r="I82" s="4"/>
      <x:c r="J82" s="4"/>
      <x:c r="K82" s="4"/>
      <x:c r="L82" s="4"/>
      <x:c r="M82" s="4"/>
      <x:c r="N82" s="4"/>
      <x:c r="O82" s="4"/>
    </x:row>
    <x:row r="83" ht="23" customHeight="1">
      <x:c r="A83" s="4"/>
      <x:c r="B83" s="4"/>
      <x:c r="C83" s="4"/>
      <x:c r="D83" s="4"/>
      <x:c r="E83" s="4"/>
      <x:c r="F83" s="4"/>
      <x:c r="G83" s="4"/>
      <x:c r="H83" s="4"/>
      <x:c r="I83" s="4"/>
      <x:c r="J83" s="4"/>
      <x:c r="K83" s="4"/>
      <x:c r="L83" s="4"/>
      <x:c r="M83" s="4"/>
      <x:c r="N83" s="6" t="str">
        <x:v>FY2032 terminal FCFF</x:v>
      </x:c>
      <x:c r="O83" s="101" t="n">
        <x:f>G73*(1+O63)*(1-O63/'Assumptions'!$C$76)</x:f>
        <x:v>6332.198277675165</x:v>
      </x:c>
    </x:row>
    <x:row r="84" ht="23" customHeight="1">
      <x:c r="A84" s="4"/>
      <x:c r="B84" s="118" t="str">
        <x:v>Net client-funds contribution</x:v>
      </x:c>
      <x:c r="C84" s="153" t="n">
        <x:f>C65-C85</x:f>
        <x:v>1604.7486000000001</x:v>
      </x:c>
      <x:c r="D84" s="153" t="n">
        <x:f>D65-D85</x:f>
        <x:v>1728.1908</x:v>
      </x:c>
      <x:c r="E84" s="153" t="n">
        <x:f>E65-E85</x:f>
        <x:v>1769.2353315</x:v>
      </x:c>
      <x:c r="F84" s="153" t="n">
        <x:f>F65-F85</x:f>
        <x:v>1801.444487535</x:v>
      </x:c>
      <x:c r="G84" s="153" t="n">
        <x:f>G65-G85</x:f>
        <x:v>1832.9697660668621</x:v>
      </x:c>
      <x:c r="H84" s="4"/>
      <x:c r="I84" s="4"/>
      <x:c r="J84" s="4"/>
      <x:c r="K84" s="4"/>
      <x:c r="L84" s="4"/>
      <x:c r="M84" s="4"/>
      <x:c r="N84" s="6" t="str">
        <x:v>Terminal reinvestment rate</x:v>
      </x:c>
      <x:c r="O84" s="199" t="n">
        <x:f>O63/'Assumptions'!$C$76</x:f>
        <x:v>0.1</x:v>
      </x:c>
    </x:row>
    <x:row r="85" ht="23" customHeight="1">
      <x:c r="A85" s="4"/>
      <x:c r="B85" s="118" t="str">
        <x:v>Client-funds expense allowance</x:v>
      </x:c>
      <x:c r="C85" s="154" t="n">
        <x:f>C65*'Assumptions'!$G$12</x:f>
        <x:v>49.6314</x:v>
      </x:c>
      <x:c r="D85" s="154" t="n">
        <x:f>D65*'Assumptions'!$G$12</x:f>
        <x:v>53.4492</x:v>
      </x:c>
      <x:c r="E85" s="154" t="n">
        <x:f>E65*'Assumptions'!$G$12</x:f>
        <x:v>54.7186185</x:v>
      </x:c>
      <x:c r="F85" s="154" t="n">
        <x:f>F65*'Assumptions'!$G$12</x:f>
        <x:v>55.714777964999996</x:v>
      </x:c>
      <x:c r="G85" s="154" t="n">
        <x:f>G65*'Assumptions'!$G$12</x:f>
        <x:v>56.68978657938749</x:v>
      </x:c>
      <x:c r="H85" s="4"/>
      <x:c r="I85" s="4"/>
      <x:c r="J85" s="4"/>
      <x:c r="K85" s="4"/>
      <x:c r="L85" s="4"/>
      <x:c r="M85" s="4"/>
      <x:c r="N85" s="6" t="str">
        <x:v>FY2032 net reinvestment</x:v>
      </x:c>
      <x:c r="O85" s="101" t="n">
        <x:f>G73*(1+O63)*O63/'Assumptions'!$C$76</x:f>
        <x:v>703.5775864083516</x:v>
      </x:c>
    </x:row>
    <x:row r="86" ht="23" customHeight="1">
      <x:c r="A86" s="4"/>
      <x:c r="B86" s="4"/>
      <x:c r="C86" s="4"/>
      <x:c r="D86" s="4"/>
      <x:c r="E86" s="4"/>
      <x:c r="F86" s="4"/>
      <x:c r="G86" s="4"/>
      <x:c r="H86" s="4"/>
      <x:c r="I86" s="4"/>
      <x:c r="J86" s="4"/>
      <x:c r="K86" s="4"/>
      <x:c r="L86" s="4"/>
      <x:c r="M86" s="4"/>
      <x:c r="N86" s="4"/>
      <x:c r="O86" s="4"/>
    </x:row>
    <x:row r="87" ht="23" customHeight="1">
      <x:c r="A87" s="4"/>
      <x:c r="B87" s="4"/>
      <x:c r="C87" s="4"/>
      <x:c r="D87" s="4"/>
      <x:c r="E87" s="4"/>
      <x:c r="F87" s="4"/>
      <x:c r="G87" s="4"/>
      <x:c r="H87" s="4"/>
      <x:c r="I87" s="4"/>
      <x:c r="J87" s="4"/>
      <x:c r="K87" s="4"/>
      <x:c r="L87" s="4"/>
      <x:c r="M87" s="4"/>
      <x:c r="N87" s="4"/>
      <x:c r="O87" s="4"/>
    </x:row>
    <x:row r="88" ht="23" customHeight="1">
      <x:c r="A88" s="4"/>
      <x:c r="B88" s="4"/>
      <x:c r="C88" s="4"/>
      <x:c r="D88" s="4"/>
      <x:c r="E88" s="4"/>
      <x:c r="F88" s="4"/>
      <x:c r="G88" s="4"/>
      <x:c r="H88" s="4"/>
      <x:c r="I88" s="4"/>
      <x:c r="J88" s="4"/>
      <x:c r="K88" s="4"/>
      <x:c r="L88" s="4"/>
      <x:c r="M88" s="4"/>
      <x:c r="N88" s="4"/>
      <x:c r="O88" s="4"/>
    </x:row>
  </x:sheetData>
  <x:pageMargins left="0.7" right="0.7" top="0.75" bottom="0.75" header="0.3" footer="0.3"/>
</x:worksheet>
</file>

<file path=xl/worksheets/sheet8.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s>
  <x:sheetData>
    <x:row r="1" ht="31" customHeight="1">
      <x:c r="A1" s="7"/>
      <x:c r="B1" s="22" t="str">
        <x:v>ADP, Service and Client-Funds Economics</x:v>
      </x:c>
      <x:c r="C1" s="22"/>
      <x:c r="D1" s="22"/>
      <x:c r="E1" s="22"/>
      <x:c r="F1" s="22"/>
      <x:c r="G1" s="22"/>
    </x:row>
    <x:row r="2" ht="24" customHeight="1">
      <x:c r="A2" s="7"/>
      <x:c r="B2" s="26" t="str">
        <x:v>Fee-service margins are calibrated to the supplied operating cases. Client-funds contribution is interest revenue less a 3%</x:v>
      </x:c>
      <x:c r="C2" s="26"/>
      <x:c r="D2" s="26"/>
      <x:c r="E2" s="26"/>
      <x:c r="F2" s="26"/>
      <x:c r="G2" s="26"/>
    </x:row>
    <x:row r="3" ht="24" customHeight="1">
      <x:c r="A3" s="4"/>
      <x:c r="B3" s="45" t="str">
        <x:v>expense allowance. Benefit reimbursements contribute no profit. Operating D&amp;A and CapEx scale with fee revenue.</x:v>
      </x:c>
      <x:c r="C3" s="4"/>
      <x:c r="D3" s="4"/>
      <x:c r="E3" s="4"/>
      <x:c r="F3" s="4"/>
      <x:c r="G3" s="4"/>
    </x:row>
    <x:row r="4" ht="23" customHeight="1">
      <x:c r="A4" s="4"/>
      <x:c r="B4" s="4"/>
      <x:c r="C4" s="4"/>
      <x:c r="D4" s="4"/>
      <x:c r="E4" s="4"/>
      <x:c r="F4" s="4"/>
      <x:c r="G4" s="4"/>
    </x:row>
    <x:row r="5" ht="34" customHeight="1">
      <x:c r="A5" s="4"/>
      <x:c r="B5" s="40" t="str">
        <x:v>Base</x:v>
      </x:c>
      <x:c r="C5" s="40" t="n">
        <x:v>2027</x:v>
      </x:c>
      <x:c r="D5" s="40" t="n">
        <x:v>2028</x:v>
      </x:c>
      <x:c r="E5" s="40" t="n">
        <x:v>2029</x:v>
      </x:c>
      <x:c r="F5" s="40" t="n">
        <x:v>2030</x:v>
      </x:c>
      <x:c r="G5" s="40" t="n">
        <x:v>2031</x:v>
      </x:c>
    </x:row>
    <x:row r="6" ht="23" customHeight="1">
      <x:c r="A6" s="4"/>
      <x:c r="B6" s="6" t="str">
        <x:v>Original reference gross revenue</x:v>
      </x:c>
      <x:c r="C6" s="120" t="n">
        <x:v>23259.4455</x:v>
      </x:c>
      <x:c r="D6" s="120" t="n">
        <x:v>24557.67063</x:v>
      </x:c>
      <x:c r="E6" s="120" t="n">
        <x:v>25781.20892465</x:v>
      </x:c>
      <x:c r="F6" s="120" t="n">
        <x:v>26983.7093312905</x:v>
      </x:c>
      <x:c r="G6" s="120" t="n">
        <x:v>28187.84148001806</x:v>
      </x:c>
    </x:row>
    <x:row r="7" ht="28" customHeight="1">
      <x:c r="A7" s="4"/>
      <x:c r="B7" s="7" t="str">
        <x:v>Original reference benefits pass-through</x:v>
      </x:c>
      <x:c r="C7" s="120" t="n">
        <x:v>4952.8475</x:v>
      </x:c>
      <x:c r="D7" s="120" t="n">
        <x:v>5250.01835</x:v>
      </x:c>
      <x:c r="E7" s="120" t="n">
        <x:v>5538.76935925</x:v>
      </x:c>
      <x:c r="F7" s="120" t="n">
        <x:v>5815.7078272125</x:v>
      </x:c>
      <x:c r="G7" s="120" t="n">
        <x:v>6106.493218573125</x:v>
      </x:c>
    </x:row>
    <x:row r="8" ht="28" customHeight="1">
      <x:c r="A8" s="4"/>
      <x:c r="B8" s="7" t="str">
        <x:v>Reference revenue excluding pass-through</x:v>
      </x:c>
      <x:c r="C8" s="153" t="n">
        <x:f>C6-C7</x:f>
        <x:v>18306.598</x:v>
      </x:c>
      <x:c r="D8" s="153" t="n">
        <x:f>D6-D7</x:f>
        <x:v>19307.652280000002</x:v>
      </x:c>
      <x:c r="E8" s="153" t="n">
        <x:f>E6-E7</x:f>
        <x:v>20242.4395654</x:v>
      </x:c>
      <x:c r="F8" s="153" t="n">
        <x:f>F6-F7</x:f>
        <x:v>21168.001504078</x:v>
      </x:c>
      <x:c r="G8" s="153" t="n">
        <x:f>G6-G7</x:f>
        <x:v>22081.34826144494</x:v>
      </x:c>
    </x:row>
    <x:row r="9" ht="23" customHeight="1">
      <x:c r="A9" s="4"/>
      <x:c r="B9" s="6" t="str">
        <x:v>Fee-service EBIT margin</x:v>
      </x:c>
      <x:c r="C9" s="150" t="n">
        <x:f>('Assumptions'!C39*C6-C12*(1-'Assumptions'!$G$12))/(C8-C12)</x:f>
        <x:v>0.28697686945836026</x:v>
      </x:c>
      <x:c r="D9" s="150" t="n">
        <x:f>('Assumptions'!D39*D6-D12*(1-'Assumptions'!$G$12))/(D8-D12)</x:f>
        <x:v>0.29589745693880026</x:v>
      </x:c>
      <x:c r="E9" s="150" t="n">
        <x:f>('Assumptions'!E39*E6-E12*(1-'Assumptions'!$G$12))/(E8-E12)</x:f>
        <x:v>0.3055036210044044</x:v>
      </x:c>
      <x:c r="F9" s="150" t="n">
        <x:f>('Assumptions'!F39*F6-F12*(1-'Assumptions'!$G$12))/(F8-F12)</x:f>
        <x:v>0.31332179071331473</x:v>
      </x:c>
      <x:c r="G9" s="150" t="n">
        <x:f>('Assumptions'!G39*G6-G12*(1-'Assumptions'!$G$12))/(G8-G12)</x:f>
        <x:v>0.31978364410619564</x:v>
      </x:c>
    </x:row>
    <x:row r="10" ht="23" customHeight="1">
      <x:c r="A10" s="4"/>
      <x:c r="B10" s="6" t="str">
        <x:v>Fee-service D&amp;A ratio</x:v>
      </x:c>
      <x:c r="C10" s="150" t="n">
        <x:f>'Assumptions'!C40*C6/(C8-C12)</x:f>
        <x:v>0.036083791561552024</x:v>
      </x:c>
      <x:c r="D10" s="150" t="n">
        <x:f>'Assumptions'!D40*D6/(D8-D12)</x:f>
        <x:v>0.03546954514466958</x:v>
      </x:c>
      <x:c r="E10" s="150" t="n">
        <x:f>'Assumptions'!E40*E6/(E8-E12)</x:f>
        <x:v>0.03470986911513316</x:v>
      </x:c>
      <x:c r="F10" s="150" t="n">
        <x:f>'Assumptions'!F40*F6/(F8-F12)</x:f>
        <x:v>0.033946584391416505</x:v>
      </x:c>
      <x:c r="G10" s="150" t="n">
        <x:f>'Assumptions'!G40*G6/(G8-G12)</x:f>
        <x:v>0.03321219319634645</x:v>
      </x:c>
    </x:row>
    <x:row r="11" ht="23" customHeight="1">
      <x:c r="A11" s="4"/>
      <x:c r="B11" s="6" t="str">
        <x:v>Fee-service CapEx ratio</x:v>
      </x:c>
      <x:c r="C11" s="150" t="n">
        <x:f>'Assumptions'!C41*C6/(C8-C12)</x:f>
        <x:v>0.0416351441094831</x:v>
      </x:c>
      <x:c r="D11" s="150" t="n">
        <x:f>'Assumptions'!D41*D6/(D8-D12)</x:f>
        <x:v>0.040337914086094814</x:v>
      </x:c>
      <x:c r="E11" s="150" t="n">
        <x:f>'Assumptions'!E41*E6/(E8-E12)</x:f>
        <x:v>0.038875053408949145</x:v>
      </x:c>
      <x:c r="F11" s="150" t="n">
        <x:f>'Assumptions'!F41*F6/(F8-F12)</x:f>
        <x:v>0.038796096447333145</x:v>
      </x:c>
      <x:c r="G11" s="150" t="n">
        <x:f>'Assumptions'!G41*G6/(G8-G12)</x:f>
        <x:v>0.03736371734588976</x:v>
      </x:c>
    </x:row>
    <x:row r="12" ht="23" customHeight="1">
      <x:c r="A12" s="4"/>
      <x:c r="B12" s="118" t="str">
        <x:v>Reference client-funds interest</x:v>
      </x:c>
      <x:c r="C12" s="120" t="n">
        <x:v>1547.118</x:v>
      </x:c>
      <x:c r="D12" s="120" t="n">
        <x:v>1652.4892800000002</x:v>
      </x:c>
      <x:c r="E12" s="120" t="n">
        <x:v>1673.3628288000002</x:v>
      </x:c>
      <x:c r="F12" s="120" t="n">
        <x:v>1693.262278656</x:v>
      </x:c>
      <x:c r="G12" s="120" t="n">
        <x:v>1712.0763039744004</x:v>
      </x:c>
    </x:row>
    <x:row r="13" ht="23" customHeight="1">
      <x:c r="A13" s="4"/>
      <x:c r="B13" s="4"/>
      <x:c r="C13" s="4"/>
      <x:c r="D13" s="4"/>
      <x:c r="E13" s="4"/>
      <x:c r="F13" s="4"/>
      <x:c r="G13" s="4"/>
    </x:row>
    <x:row r="14" ht="23" customHeight="1">
      <x:c r="A14" s="4"/>
      <x:c r="B14" s="4"/>
      <x:c r="C14" s="4"/>
      <x:c r="D14" s="4"/>
      <x:c r="E14" s="4"/>
      <x:c r="F14" s="4"/>
      <x:c r="G14" s="4"/>
    </x:row>
    <x:row r="15" ht="23" customHeight="1">
      <x:c r="A15" s="4"/>
      <x:c r="B15" s="4"/>
      <x:c r="C15" s="4"/>
      <x:c r="D15" s="4"/>
      <x:c r="E15" s="4"/>
      <x:c r="F15" s="4"/>
      <x:c r="G15" s="4"/>
    </x:row>
    <x:row r="16" ht="23" customHeight="1">
      <x:c r="A16" s="4"/>
      <x:c r="B16" s="6" t="str">
        <x:v>Downside</x:v>
      </x:c>
      <x:c r="C16" s="99" t="n">
        <x:v>2027</x:v>
      </x:c>
      <x:c r="D16" s="99" t="n">
        <x:v>2028</x:v>
      </x:c>
      <x:c r="E16" s="99" t="n">
        <x:v>2029</x:v>
      </x:c>
      <x:c r="F16" s="99" t="n">
        <x:v>2030</x:v>
      </x:c>
      <x:c r="G16" s="99" t="n">
        <x:v>2031</x:v>
      </x:c>
    </x:row>
    <x:row r="17" ht="23" customHeight="1">
      <x:c r="A17" s="4"/>
      <x:c r="B17" s="6" t="str">
        <x:v>Original reference gross revenue</x:v>
      </x:c>
      <x:c r="C17" s="120" t="n">
        <x:v>22813.279</x:v>
      </x:c>
      <x:c r="D17" s="120" t="n">
        <x:v>23277.15796</x:v>
      </x:c>
      <x:c r="E17" s="120" t="n">
        <x:v>23997.91088925</x:v>
      </x:c>
      <x:c r="F17" s="120" t="n">
        <x:v>24919.0854868635</x:v>
      </x:c>
      <x:c r="G17" s="120" t="n">
        <x:v>25875.94481324284</x:v>
      </x:c>
    </x:row>
    <x:row r="18" ht="28" customHeight="1">
      <x:c r="A18" s="4"/>
      <x:c r="B18" s="7" t="str">
        <x:v>Original reference benefits pass-through</x:v>
      </x:c>
      <x:c r="C18" s="120" t="n">
        <x:v>4837.665</x:v>
      </x:c>
      <x:c r="D18" s="120" t="n">
        <x:v>4982.79495</x:v>
      </x:c>
      <x:c r="E18" s="120" t="n">
        <x:v>5182.106748000001</x:v>
      </x:c>
      <x:c r="F18" s="120" t="n">
        <x:v>5389.391017920001</x:v>
      </x:c>
      <x:c r="G18" s="120" t="n">
        <x:v>5604.966658636801</x:v>
      </x:c>
    </x:row>
    <x:row r="19" ht="28" customHeight="1">
      <x:c r="A19" s="4"/>
      <x:c r="B19" s="7" t="str">
        <x:v>Reference revenue excluding pass-through</x:v>
      </x:c>
      <x:c r="C19" s="153" t="n">
        <x:f>C17-C18</x:f>
        <x:v>17975.613999999998</x:v>
      </x:c>
      <x:c r="D19" s="153" t="n">
        <x:f>D17-D18</x:f>
        <x:v>18294.36301</x:v>
      </x:c>
      <x:c r="E19" s="153" t="n">
        <x:f>E17-E18</x:f>
        <x:v>18815.80414125</x:v>
      </x:c>
      <x:c r="F19" s="153" t="n">
        <x:f>F17-F18</x:f>
        <x:v>19529.694468943497</x:v>
      </x:c>
      <x:c r="G19" s="153" t="n">
        <x:f>G17-G18</x:f>
        <x:v>20270.97815460604</x:v>
      </x:c>
    </x:row>
    <x:row r="20" ht="23" customHeight="1">
      <x:c r="A20" s="4"/>
      <x:c r="B20" s="6" t="str">
        <x:v>Fee-service EBIT margin</x:v>
      </x:c>
      <x:c r="C20" s="150" t="n">
        <x:f>('Assumptions'!C53*C17-C23*(1-'Assumptions'!$G$12))/(C19-C23)</x:f>
        <x:v>0.2827516497891767</x:v>
      </x:c>
      <x:c r="D20" s="150" t="n">
        <x:f>('Assumptions'!D53*D17-D23*(1-'Assumptions'!$G$12))/(D19-D23)</x:f>
        <x:v>0.28759714456766644</x:v>
      </x:c>
      <x:c r="E20" s="150" t="n">
        <x:f>('Assumptions'!E53*E17-E23*(1-'Assumptions'!$G$12))/(E19-E23)</x:f>
        <x:v>0.2958260821037588</x:v>
      </x:c>
      <x:c r="F20" s="150" t="n">
        <x:f>('Assumptions'!F53*F17-F23*(1-'Assumptions'!$G$12))/(F19-F23)</x:f>
        <x:v>0.3017887496796482</x:v>
      </x:c>
      <x:c r="G20" s="150" t="n">
        <x:f>('Assumptions'!G53*G17-G23*(1-'Assumptions'!$G$12))/(G19-G23)</x:f>
        <x:v>0.30638394000061064</x:v>
      </x:c>
    </x:row>
    <x:row r="21" ht="23" customHeight="1">
      <x:c r="A21" s="4"/>
      <x:c r="B21" s="6" t="str">
        <x:v>Fee-service D&amp;A ratio</x:v>
      </x:c>
      <x:c r="C21" s="150" t="n">
        <x:f>'Assumptions'!C54*C17/(C19-C23)</x:f>
        <x:v>0.037162929328605286</x:v>
      </x:c>
      <x:c r="D21" s="150" t="n">
        <x:f>'Assumptions'!D54*D17/(D19-D23)</x:f>
        <x:v>0.036897115723568824</x:v>
      </x:c>
      <x:c r="E21" s="150" t="n">
        <x:f>'Assumptions'!E54*E17/(E19-E23)</x:f>
        <x:v>0.03612583560751612</x:v>
      </x:c>
      <x:c r="F21" s="150" t="n">
        <x:f>'Assumptions'!F54*F17/(F19-F23)</x:f>
        <x:v>0.03544072770640584</x:v>
      </x:c>
      <x:c r="G21" s="150" t="n">
        <x:f>'Assumptions'!G54*G17/(G19-G23)</x:f>
        <x:v>0.03543726285954645</x:v>
      </x:c>
    </x:row>
    <x:row r="22" ht="23" customHeight="1">
      <x:c r="A22" s="4"/>
      <x:c r="B22" s="6" t="str">
        <x:v>Fee-service CapEx ratio</x:v>
      </x:c>
      <x:c r="C22" s="150" t="n">
        <x:f>'Assumptions'!C55*C17/(C19-C23)</x:f>
        <x:v>0.044044953278347</x:v>
      </x:c>
      <x:c r="D22" s="150" t="n">
        <x:f>'Assumptions'!D55*D17/(D19-D23)</x:f>
        <x:v>0.04372991493163712</x:v>
      </x:c>
      <x:c r="E22" s="150" t="n">
        <x:f>'Assumptions'!E55*E17/(E19-E23)</x:f>
        <x:v>0.04226041146539622</x:v>
      </x:c>
      <x:c r="F22" s="150" t="n">
        <x:f>'Assumptions'!F55*F17/(F19-F23)</x:f>
        <x:v>0.040893147353545205</x:v>
      </x:c>
      <x:c r="G22" s="150" t="n">
        <x:f>'Assumptions'!G55*G17/(G19-G23)</x:f>
        <x:v>0.04088914945332283</x:v>
      </x:c>
    </x:row>
    <x:row r="23" ht="23" customHeight="1">
      <x:c r="A23" s="4"/>
      <x:c r="B23" s="118" t="str">
        <x:v>Reference client-funds interest</x:v>
      </x:c>
      <x:c r="C23" s="120" t="n">
        <x:v>1401.0720000000001</x:v>
      </x:c>
      <x:c r="D23" s="120" t="n">
        <x:v>1260.9648</x:v>
      </x:c>
      <x:c r="E23" s="120" t="n">
        <x:v>1212.2074944</x:v>
      </x:c>
      <x:c r="F23" s="120" t="n">
        <x:v>1248.5737192320003</x:v>
      </x:c>
      <x:c r="G23" s="120" t="n">
        <x:v>1286.0309308089602</x:v>
      </x:c>
    </x:row>
    <x:row r="24" ht="23" customHeight="1">
      <x:c r="A24" s="4"/>
      <x:c r="B24" s="4"/>
      <x:c r="C24" s="4"/>
      <x:c r="D24" s="4"/>
      <x:c r="E24" s="4"/>
      <x:c r="F24" s="4"/>
      <x:c r="G24" s="4"/>
    </x:row>
    <x:row r="25" ht="23" customHeight="1">
      <x:c r="A25" s="4"/>
      <x:c r="B25" s="4"/>
      <x:c r="C25" s="4"/>
      <x:c r="D25" s="4"/>
      <x:c r="E25" s="4"/>
      <x:c r="F25" s="4"/>
      <x:c r="G25" s="4"/>
    </x:row>
    <x:row r="26" ht="23" customHeight="1">
      <x:c r="A26" s="4"/>
      <x:c r="B26" s="4"/>
      <x:c r="C26" s="4"/>
      <x:c r="D26" s="4"/>
      <x:c r="E26" s="4"/>
      <x:c r="F26" s="4"/>
      <x:c r="G26" s="4"/>
    </x:row>
    <x:row r="27" ht="23" customHeight="1">
      <x:c r="A27" s="4"/>
      <x:c r="B27" s="6" t="str">
        <x:v>Upside</x:v>
      </x:c>
      <x:c r="C27" s="99" t="n">
        <x:v>2027</x:v>
      </x:c>
      <x:c r="D27" s="99" t="n">
        <x:v>2028</x:v>
      </x:c>
      <x:c r="E27" s="99" t="n">
        <x:v>2029</x:v>
      </x:c>
      <x:c r="F27" s="99" t="n">
        <x:v>2030</x:v>
      </x:c>
      <x:c r="G27" s="99" t="n">
        <x:v>2031</x:v>
      </x:c>
    </x:row>
    <x:row r="28" ht="23" customHeight="1">
      <x:c r="A28" s="4"/>
      <x:c r="B28" s="6" t="str">
        <x:v>Original reference gross revenue</x:v>
      </x:c>
      <x:c r="C28" s="120" t="n">
        <x:v>23549.597</x:v>
      </x:c>
      <x:c r="D28" s="120" t="n">
        <x:v>25111.7559</x:v>
      </x:c>
      <x:c r="E28" s="120" t="n">
        <x:v>26566.5379809</x:v>
      </x:c>
      <x:c r="F28" s="120" t="n">
        <x:v>28022.5895607966</x:v>
      </x:c>
      <x:c r="G28" s="120" t="n">
        <x:v>29472.53895447704</x:v>
      </x:c>
    </x:row>
    <x:row r="29" ht="28" customHeight="1">
      <x:c r="A29" s="4"/>
      <x:c r="B29" s="7" t="str">
        <x:v>Original reference benefits pass-through</x:v>
      </x:c>
      <x:c r="C29" s="120" t="n">
        <x:v>4975.884000000001</x:v>
      </x:c>
      <x:c r="D29" s="120" t="n">
        <x:v>5324.195880000001</x:v>
      </x:c>
      <x:c r="E29" s="120" t="n">
        <x:v>5670.2686122</x:v>
      </x:c>
      <x:c r="F29" s="120" t="n">
        <x:v>6010.484728932001</x:v>
      </x:c>
      <x:c r="G29" s="120" t="n">
        <x:v>6341.06138902326</x:v>
      </x:c>
    </x:row>
    <x:row r="30" ht="28" customHeight="1">
      <x:c r="A30" s="4"/>
      <x:c r="B30" s="7" t="str">
        <x:v>Reference revenue excluding pass-through</x:v>
      </x:c>
      <x:c r="C30" s="153" t="n">
        <x:f>C28-C29</x:f>
        <x:v>18573.713</x:v>
      </x:c>
      <x:c r="D30" s="153" t="n">
        <x:f>D28-D29</x:f>
        <x:v>19787.560019999997</x:v>
      </x:c>
      <x:c r="E30" s="153" t="n">
        <x:f>E28-E29</x:f>
        <x:v>20896.2693687</x:v>
      </x:c>
      <x:c r="F30" s="153" t="n">
        <x:f>F28-F29</x:f>
        <x:v>22012.1048318646</x:v>
      </x:c>
      <x:c r="G30" s="153" t="n">
        <x:f>G28-G29</x:f>
        <x:v>23131.47756545378</x:v>
      </x:c>
    </x:row>
    <x:row r="31" ht="23" customHeight="1">
      <x:c r="A31" s="4"/>
      <x:c r="B31" s="6" t="str">
        <x:v>Fee-service EBIT margin</x:v>
      </x:c>
      <x:c r="C31" s="150" t="n">
        <x:f>('Assumptions'!C67*C28-C34*(1-'Assumptions'!$G$12))/(C30-C34)</x:f>
        <x:v>0.2879185943677568</x:v>
      </x:c>
      <x:c r="D31" s="150" t="n">
        <x:f>('Assumptions'!D67*D28-D34*(1-'Assumptions'!$G$12))/(D30-D34)</x:f>
        <x:v>0.29870376596841064</x:v>
      </x:c>
      <x:c r="E31" s="150" t="n">
        <x:f>('Assumptions'!E67*E28-E34*(1-'Assumptions'!$G$12))/(E30-E34)</x:f>
        <x:v>0.31118721312367764</x:v>
      </x:c>
      <x:c r="F31" s="150" t="n">
        <x:f>('Assumptions'!F67*F28-F34*(1-'Assumptions'!$G$12))/(F30-F34)</x:f>
        <x:v>0.32216618998450597</x:v>
      </x:c>
      <x:c r="G31" s="150" t="n">
        <x:f>('Assumptions'!G67*G28-G34*(1-'Assumptions'!$G$12))/(G30-G34)</x:f>
        <x:v>0.3313400225436014</x:v>
      </x:c>
    </x:row>
    <x:row r="32" ht="23" customHeight="1">
      <x:c r="A32" s="4"/>
      <x:c r="B32" s="6" t="str">
        <x:v>Fee-service D&amp;A ratio</x:v>
      </x:c>
      <x:c r="C32" s="150" t="n">
        <x:f>'Assumptions'!C68*C28/(C30-C34)</x:f>
        <x:v>0.03549281307365958</x:v>
      </x:c>
      <x:c r="D32" s="150" t="n">
        <x:f>'Assumptions'!D68*D28/(D30-D34)</x:f>
        <x:v>0.03486597168057398</x:v>
      </x:c>
      <x:c r="E32" s="150" t="n">
        <x:f>'Assumptions'!E68*E28/(E30-E34)</x:f>
        <x:v>0.0341269618419731</x:v>
      </x:c>
      <x:c r="F32" s="150" t="n">
        <x:f>'Assumptions'!F68*F28/(F30-F34)</x:f>
        <x:v>0.03336859170592276</x:v>
      </x:c>
      <x:c r="G32" s="150" t="n">
        <x:f>'Assumptions'!G68*G28/(G30-G34)</x:f>
        <x:v>0.032605715057562955</x:v>
      </x:c>
    </x:row>
    <x:row r="33" ht="23" customHeight="1">
      <x:c r="A33" s="4"/>
      <x:c r="B33" s="6" t="str">
        <x:v>Fee-service CapEx ratio</x:v>
      </x:c>
      <x:c r="C33" s="150" t="n">
        <x:f>'Assumptions'!C69*C28/(C30-C34)</x:f>
        <x:v>0.04036437565239718</x:v>
      </x:c>
      <x:c r="D33" s="150" t="n">
        <x:f>'Assumptions'!D69*D28/(D30-D34)</x:f>
        <x:v>0.03904988828224286</x:v>
      </x:c>
      <x:c r="E33" s="150" t="n">
        <x:f>'Assumptions'!E69*E28/(E30-E34)</x:f>
        <x:v>0.03760930488707239</x:v>
      </x:c>
      <x:c r="F33" s="150" t="n">
        <x:f>'Assumptions'!F69*F28/(F30-F34)</x:f>
        <x:v>0.03614930768141632</x:v>
      </x:c>
      <x:c r="G33" s="150" t="n">
        <x:f>'Assumptions'!G69*G28/(G30-G34)</x:f>
        <x:v>0.03468693091230101</x:v>
      </x:c>
    </x:row>
    <x:row r="34" ht="23" customHeight="1">
      <x:c r="A34" s="4"/>
      <x:c r="B34" s="118" t="str">
        <x:v>Reference client-funds interest</x:v>
      </x:c>
      <x:c r="C34" s="120" t="n">
        <x:v>1654.38</x:v>
      </x:c>
      <x:c r="D34" s="120" t="n">
        <x:v>1781.64</x:v>
      </x:c>
      <x:c r="E34" s="120" t="n">
        <x:v>1823.95395</x:v>
      </x:c>
      <x:c r="F34" s="120" t="n">
        <x:v>1857.1592655</x:v>
      </x:c>
      <x:c r="G34" s="120" t="n">
        <x:v>1889.6595526462497</x:v>
      </x:c>
    </x:row>
    <x:row r="35" ht="23" customHeight="1">
      <x:c r="A35" s="4"/>
      <x:c r="B35" s="4"/>
      <x:c r="C35" s="4"/>
      <x:c r="D35" s="4"/>
      <x:c r="E35" s="4"/>
      <x:c r="F35" s="4"/>
      <x:c r="G35" s="4"/>
    </x:row>
    <x:row r="36" ht="23" customHeight="1">
      <x:c r="A36" s="4"/>
      <x:c r="B36" s="4"/>
      <x:c r="C36" s="4"/>
      <x:c r="D36" s="4"/>
      <x:c r="E36" s="4"/>
      <x:c r="F36" s="4"/>
      <x:c r="G36" s="4"/>
    </x:row>
    <x:row r="37" ht="23" customHeight="1">
      <x:c r="A37" s="4"/>
      <x:c r="B37" s="4"/>
      <x:c r="C37" s="4"/>
      <x:c r="D37" s="4"/>
      <x:c r="E37" s="4"/>
      <x:c r="F37" s="4"/>
      <x:c r="G37" s="4"/>
    </x:row>
  </x:sheetData>
  <x:pageMargins left="0.7" right="0.7" top="0.75" bottom="0.75" header="0.3" footer="0.3"/>
</x:worksheet>
</file>

<file path=xl/worksheets/sheet9.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46" hidden="0" customWidth="1"/>
    <x:col min="5" max="5" width="76" hidden="0" customWidth="1"/>
    <x:col min="6" max="6" width="14" hidden="0" customWidth="1"/>
    <x:col min="7" max="7" width="14" hidden="0" customWidth="1"/>
  </x:cols>
  <x:sheetData>
    <x:row r="1" ht="31" customHeight="1">
      <x:c r="A1" s="7"/>
      <x:c r="B1" s="22" t="str">
        <x:v>ADP, Weighted Average Cost of Capital</x:v>
      </x:c>
      <x:c r="C1" s="22"/>
      <x:c r="D1" s="22"/>
      <x:c r="E1" s="22"/>
      <x:c r="F1" s="22"/>
      <x:c r="G1" s="22"/>
    </x:row>
    <x:row r="2" ht="34" customHeight="1">
      <x:c r="A2" s="7"/>
      <x:c r="B2" s="26" t="str">
        <x:v>CAPM and market capital structure, Valuation-date inputs</x:v>
      </x:c>
      <x:c r="C2" s="26"/>
      <x:c r="D2" s="26"/>
      <x:c r="E2" s="26"/>
      <x:c r="F2" s="26"/>
      <x:c r="G2" s="26"/>
    </x:row>
    <x:row r="3" ht="23" customHeight="1">
      <x:c r="A3" s="4"/>
      <x:c r="B3" s="4"/>
      <x:c r="C3" s="4"/>
      <x:c r="D3" s="4"/>
      <x:c r="E3" s="4"/>
      <x:c r="F3" s="4"/>
      <x:c r="G3" s="4"/>
    </x:row>
    <x:row r="4" ht="25" customHeight="1">
      <x:c r="A4" s="4"/>
      <x:c r="B4" s="57" t="str">
        <x:v>Cost of Capital</x:v>
      </x:c>
      <x:c r="C4" s="58"/>
      <x:c r="D4" s="58"/>
      <x:c r="E4" s="58"/>
      <x:c r="F4" s="4"/>
      <x:c r="G4" s="4"/>
    </x:row>
    <x:row r="5" ht="34" customHeight="1">
      <x:c r="A5" s="4"/>
      <x:c r="B5" s="40" t="str">
        <x:v>Input / calculation</x:v>
      </x:c>
      <x:c r="C5" s="40" t="str">
        <x:v>Value</x:v>
      </x:c>
      <x:c r="D5" s="40" t="str">
        <x:v>Method / formula</x:v>
      </x:c>
      <x:c r="E5" s="40" t="str">
        <x:v>Source</x:v>
      </x:c>
      <x:c r="F5" s="42"/>
      <x:c r="G5" s="42"/>
    </x:row>
    <x:row r="6" ht="28" customHeight="1">
      <x:c r="A6" s="4"/>
      <x:c r="B6" s="7" t="str">
        <x:v>Risk-free rate</x:v>
      </x:c>
      <x:c r="C6" s="194" t="n">
        <x:v>0.0463</x:v>
      </x:c>
      <x:c r="D6" s="7" t="str">
        <x:v>10-year U.S. Treasury, 5 Aug 2026</x:v>
      </x:c>
      <x:c r="E6" s="7" t="str">
        <x:v>A06</x:v>
      </x:c>
      <x:c r="F6" s="4"/>
      <x:c r="G6" s="4"/>
    </x:row>
    <x:row r="7" ht="23" customHeight="1">
      <x:c r="A7" s="4"/>
      <x:c r="B7" s="7" t="str">
        <x:v>U.S. implied equity risk premium</x:v>
      </x:c>
      <x:c r="C7" s="194" t="n">
        <x:v>0.0423</x:v>
      </x:c>
      <x:c r="D7" s="7" t="str">
        <x:v>Damodaran 2025 annual estimate</x:v>
      </x:c>
      <x:c r="E7" s="7" t="str">
        <x:v>A07; page updated Jan 2026</x:v>
      </x:c>
      <x:c r="F7" s="4"/>
      <x:c r="G7" s="4"/>
    </x:row>
    <x:row r="8" ht="57" customHeight="1">
      <x:c r="A8" s="4"/>
      <x:c r="B8" s="7" t="str">
        <x:v>Industry operating-asset beta</x:v>
      </x:c>
      <x:c r="C8" s="197" t="n">
        <x:v>0.81</x:v>
      </x:c>
      <x:c r="D8" s="7" t="str">
        <x:v>Business &amp; consumer services; cash-corrected unlevered beta</x:v>
      </x:c>
      <x:c r="E8" s="7" t="str">
        <x:v>Damodaran U.S. industry data, January 2026. Beta is relevered using ADP corporate funded debt / market equity and the 23% tax assumption. Client obligations are excluded.</x:v>
      </x:c>
      <x:c r="F8" s="4"/>
      <x:c r="G8" s="4"/>
    </x:row>
    <x:row r="9" ht="57" customHeight="1">
      <x:c r="A9" s="4"/>
      <x:c r="B9" s="7" t="str">
        <x:v>Business / consumer services beta</x:v>
      </x:c>
      <x:c r="C9" s="197" t="n">
        <x:v>0.89</x:v>
      </x:c>
      <x:c r="D9" s="7" t="str">
        <x:v>Industry comparison, Jan 2026</x:v>
      </x:c>
      <x:c r="E9" s="7" t="str">
        <x:v>A05</x:v>
      </x:c>
      <x:c r="F9" s="4"/>
      <x:c r="G9" s="4"/>
    </x:row>
    <x:row r="10" ht="57" customHeight="1">
      <x:c r="A10" s="4"/>
      <x:c r="B10" s="7" t="str">
        <x:v>Selected beta</x:v>
      </x:c>
      <x:c r="C10" s="198" t="n">
        <x:f>C8*(1+(1-'Assumptions'!C12)*C13/C12)</x:f>
        <x:v>0.8388166161807301</x:v>
      </x:c>
      <x:c r="D10" s="7" t="str">
        <x:v>Operating beta × [1 + (1 − tax) × corporate D/E]</x:v>
      </x:c>
      <x:c r="E10" s="7" t="str">
        <x:v>Judgment</x:v>
      </x:c>
      <x:c r="F10" s="4"/>
      <x:c r="G10" s="4"/>
    </x:row>
    <x:row r="11" ht="23" customHeight="1">
      <x:c r="A11" s="4"/>
      <x:c r="B11" s="7" t="str">
        <x:v>Cost of equity</x:v>
      </x:c>
      <x:c r="C11" s="195" t="n">
        <x:f>C6+C10*C7</x:f>
        <x:v>0.08178194286444487</x:v>
      </x:c>
      <x:c r="D11" s="7" t="str">
        <x:v>Risk-free + beta × ERP</x:v>
      </x:c>
      <x:c r="E11" s="7" t="str">
        <x:v>Derived</x:v>
      </x:c>
      <x:c r="F11" s="4"/>
      <x:c r="G11" s="4"/>
    </x:row>
    <x:row r="12" ht="28" customHeight="1">
      <x:c r="A12" s="4"/>
      <x:c r="B12" s="7" t="str">
        <x:v>Market capitalization</x:v>
      </x:c>
      <x:c r="C12" s="166" t="n">
        <x:f>'Assumptions'!G6*'Assumptions'!C6</x:f>
        <x:v>107441.802</x:v>
      </x:c>
      <x:c r="D12" s="7" t="str">
        <x:v>Current basic shares × 5 Aug 2026 close</x:v>
      </x:c>
      <x:c r="E12" s="7" t="str">
        <x:v>A01 / A09; derived</x:v>
      </x:c>
      <x:c r="F12" s="4"/>
      <x:c r="G12" s="4"/>
    </x:row>
    <x:row r="13" ht="23" customHeight="1">
      <x:c r="A13" s="4"/>
      <x:c r="B13" s="7" t="str">
        <x:v>Corporate funded debt</x:v>
      </x:c>
      <x:c r="C13" s="166" t="n">
        <x:f>'Assumptions'!C11</x:f>
        <x:v>4964.1</x:v>
      </x:c>
      <x:c r="D13" s="7" t="str">
        <x:v>Excludes client obligations</x:v>
      </x:c>
      <x:c r="E13" s="7" t="str">
        <x:v>A01</x:v>
      </x:c>
      <x:c r="F13" s="4"/>
      <x:c r="G13" s="4"/>
    </x:row>
    <x:row r="14" ht="57" customHeight="1">
      <x:c r="A14" s="4"/>
      <x:c r="B14" s="7" t="str">
        <x:v>Pre-tax cost of debt</x:v>
      </x:c>
      <x:c r="C14" s="194" t="n">
        <x:v>0.0525</x:v>
      </x:c>
      <x:c r="D14" s="7" t="str">
        <x:v>Estimated marginal borrowing cost</x:v>
      </x:c>
      <x:c r="E14" s="7" t="str">
        <x:v>Estimate</x:v>
      </x:c>
      <x:c r="F14" s="4"/>
      <x:c r="G14" s="4"/>
    </x:row>
    <x:row r="15" ht="23" customHeight="1">
      <x:c r="A15" s="4"/>
      <x:c r="B15" s="7" t="str">
        <x:v>After-tax cost of debt</x:v>
      </x:c>
      <x:c r="C15" s="196" t="n">
        <x:f>C14*(1-'Assumptions'!$C$12)</x:f>
        <x:v>0.040425</x:v>
      </x:c>
      <x:c r="D15" s="7" t="str">
        <x:v>Pre-tax cost × (1 − tax)</x:v>
      </x:c>
      <x:c r="E15" s="7" t="str">
        <x:v>Derived</x:v>
      </x:c>
      <x:c r="F15" s="4"/>
      <x:c r="G15" s="4"/>
    </x:row>
    <x:row r="16" ht="23" customHeight="1">
      <x:c r="A16" s="4"/>
      <x:c r="B16" s="7" t="str">
        <x:v>Equity weight</x:v>
      </x:c>
      <x:c r="C16" s="195" t="n">
        <x:f>C12/(C12+C13)</x:f>
        <x:v>0.9558377281648431</x:v>
      </x:c>
      <x:c r="D16" s="7" t="str">
        <x:v>E / (D + E)</x:v>
      </x:c>
      <x:c r="E16" s="7" t="str">
        <x:v>Derived</x:v>
      </x:c>
      <x:c r="F16" s="4"/>
      <x:c r="G16" s="4"/>
    </x:row>
    <x:row r="17" ht="23" customHeight="1">
      <x:c r="A17" s="4"/>
      <x:c r="B17" s="7" t="str">
        <x:v>Debt weight</x:v>
      </x:c>
      <x:c r="C17" s="195" t="n">
        <x:f>C13/(C12+C13)</x:f>
        <x:v>0.04416227183515684</x:v>
      </x:c>
      <x:c r="D17" s="7" t="str">
        <x:v>D / (D + E)</x:v>
      </x:c>
      <x:c r="E17" s="7" t="str">
        <x:v>Derived</x:v>
      </x:c>
      <x:c r="F17" s="4"/>
      <x:c r="G17" s="4"/>
    </x:row>
    <x:row r="18" ht="28" customHeight="1">
      <x:c r="A18" s="4"/>
      <x:c r="B18" s="7" t="str">
        <x:v>Selected WACC</x:v>
      </x:c>
      <x:c r="C18" s="195" t="n">
        <x:f>C11*C16+C15*C17</x:f>
        <x:v>0.0799555263113942</x:v>
      </x:c>
      <x:c r="D18" s="7" t="str">
        <x:v>Ke × E weight + Kd after tax × D weight</x:v>
      </x:c>
      <x:c r="E18" s="7" t="str">
        <x:v>Derived</x:v>
      </x:c>
      <x:c r="F18" s="4"/>
      <x:c r="G18" s="4"/>
    </x:row>
    <x:row r="19" ht="23" customHeight="1">
      <x:c r="A19" s="4"/>
      <x:c r="B19" s="134"/>
      <x:c r="C19" s="134"/>
      <x:c r="D19" s="134"/>
      <x:c r="E19" s="134"/>
      <x:c r="F19" s="4"/>
      <x:c r="G19" s="4"/>
    </x:row>
    <x:row r="20" ht="23" customHeight="1">
      <x:c r="A20" s="4"/>
      <x:c r="B20" s="7" t="str">
        <x:v>Model WACC output</x:v>
      </x:c>
      <x:c r="C20" s="195" t="n">
        <x:f>C18</x:f>
        <x:v>0.0799555263113942</x:v>
      </x:c>
      <x:c r="D20" s="134"/>
      <x:c r="E20" s="134"/>
      <x:c r="F20" s="4"/>
      <x:c r="G20" s="4"/>
    </x:row>
    <x:row r="21" ht="23" customHeight="1">
      <x:c r="A21" s="4"/>
      <x:c r="B21" s="134"/>
      <x:c r="C21" s="134"/>
      <x:c r="D21" s="134"/>
      <x:c r="E21" s="134"/>
      <x:c r="F21" s="4"/>
      <x:c r="G21" s="4"/>
    </x:row>
    <x:row r="22" ht="23" customHeight="1">
      <x:c r="A22" s="4"/>
      <x:c r="B22" s="134"/>
      <x:c r="C22" s="134"/>
      <x:c r="D22" s="134"/>
      <x:c r="E22" s="134"/>
      <x:c r="F22" s="4"/>
      <x:c r="G22" s="4"/>
    </x:row>
    <x:row r="23" ht="23" customHeight="1">
      <x:c r="A23" s="4"/>
      <x:c r="B23" s="4"/>
      <x:c r="C23" s="4"/>
      <x:c r="D23" s="4"/>
      <x:c r="E23" s="4"/>
      <x:c r="F23" s="4"/>
      <x:c r="G23" s="4"/>
    </x:row>
    <x:row r="24" ht="65" customHeight="1">
      <x:c r="A24" s="4"/>
      <x:c r="B24" s="44" t="str">
        <x:v>ADP holds $44.0bn of client funds and owes $44.4bn to clients. These balances relate to payroll and taxes. The model</x:v>
      </x:c>
      <x:c r="C24" s="26"/>
      <x:c r="D24" s="26"/>
      <x:c r="E24" s="26"/>
      <x:c r="F24" s="26"/>
      <x:c r="G24" s="26"/>
    </x:row>
    <x:row r="25" ht="24" customHeight="1">
      <x:c r="A25" s="4"/>
      <x:c r="B25" s="45" t="str">
        <x:v>forecasts interest earned on the funds and excludes both balances from corporate cash and debt. Adding the assets to equity</x:v>
      </x:c>
      <x:c r="C25" s="4"/>
      <x:c r="D25" s="4"/>
      <x:c r="E25" s="4"/>
      <x:c r="F25" s="4"/>
      <x:c r="G25" s="4"/>
    </x:row>
    <x:row r="26" ht="24" customHeight="1">
      <x:c r="A26" s="4"/>
      <x:c r="B26" s="45" t="str">
        <x:v>value would count the client-funds business twice.</x:v>
      </x:c>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

<file path=xl/worksheets/sheet10.xml><?xml version="1.0" encoding="utf-8"?>
<x:worksheet xmlns:x="http://schemas.openxmlformats.org/spreadsheetml/2006/main">
  <x:sheetPr>
    <x:tabColor rgb="FFD6C6B0"/>
  </x:sheetPr>
  <x:sheetViews>
    <x:sheetView showGridLines="0" workbookViewId="0">
      <x:pane xSplit="2" ySplit="5" topLeftCell="C6" activePane="bottomRigh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1" customHeight="1">
      <x:c r="A1" s="7"/>
      <x:c r="B1" s="22" t="str">
        <x:v>ADP, Historical Financials and Operating KPIs</x:v>
      </x:c>
      <x:c r="C1" s="22"/>
      <x:c r="D1" s="22"/>
      <x:c r="E1" s="22"/>
      <x:c r="F1" s="22"/>
      <x:c r="G1" s="22"/>
      <x:c r="H1" s="22"/>
      <x:c r="I1" s="22"/>
      <x:c r="J1" s="22"/>
      <x:c r="K1" s="22"/>
    </x:row>
    <x:row r="2" ht="34" customHeight="1">
      <x:c r="A2" s="7"/>
      <x:c r="B2" s="26" t="str">
        <x:v>FY2021-FY2026. Reported unless labeled calculated. USD millions except shares and per-share data.</x:v>
      </x:c>
      <x:c r="C2" s="26"/>
      <x:c r="D2" s="26"/>
      <x:c r="E2" s="26"/>
      <x:c r="F2" s="26"/>
      <x:c r="G2" s="26"/>
      <x:c r="H2" s="26"/>
      <x:c r="I2" s="26"/>
      <x:c r="J2" s="26"/>
      <x:c r="K2" s="26"/>
    </x:row>
    <x:row r="3" ht="23" customHeight="1">
      <x:c r="A3" s="4"/>
      <x:c r="B3" s="4"/>
      <x:c r="C3" s="4"/>
      <x:c r="D3" s="4"/>
      <x:c r="E3" s="4"/>
      <x:c r="F3" s="4"/>
      <x:c r="G3" s="4"/>
      <x:c r="H3" s="4"/>
      <x:c r="I3" s="4"/>
      <x:c r="J3" s="4"/>
      <x:c r="K3" s="4"/>
    </x:row>
    <x:row r="4" ht="25" customHeight="1">
      <x:c r="A4" s="4"/>
      <x:c r="B4" s="57" t="str">
        <x:v>Consolidated Financial and Cash-Flow History</x:v>
      </x:c>
      <x:c r="C4" s="58"/>
      <x:c r="D4" s="58"/>
      <x:c r="E4" s="58"/>
      <x:c r="F4" s="58"/>
      <x:c r="G4" s="58"/>
      <x:c r="H4" s="58"/>
      <x:c r="I4" s="58"/>
      <x:c r="J4" s="58"/>
      <x:c r="K4" s="58"/>
    </x:row>
    <x:row r="5" ht="34" customHeight="1">
      <x:c r="A5" s="4"/>
      <x:c r="B5" s="40" t="str">
        <x:v>Metric</x:v>
      </x:c>
      <x:c r="C5" s="40" t="str">
        <x:v>FY2021A</x:v>
      </x:c>
      <x:c r="D5" s="40" t="str">
        <x:v>FY2022A</x:v>
      </x:c>
      <x:c r="E5" s="40" t="str">
        <x:v>FY2023A</x:v>
      </x:c>
      <x:c r="F5" s="40" t="str">
        <x:v>FY2024A</x:v>
      </x:c>
      <x:c r="G5" s="40" t="str">
        <x:v>FY2025A</x:v>
      </x:c>
      <x:c r="H5" s="40" t="str">
        <x:v>FY2026A</x:v>
      </x:c>
      <x:c r="I5" s="40" t="str">
        <x:v>Status</x:v>
      </x:c>
      <x:c r="J5" s="40" t="str">
        <x:v>Source ID</x:v>
      </x:c>
      <x:c r="K5" s="40" t="str">
        <x:v>Accounting notes
Client funds held for payroll and taxes are excluded from corporate cash and debt. PEO benefit reimbursements add revenue without similar profit. Capex includes software and other intangibles. Stock compensation stays in costs. FY2025 acquisitions are excluded from FCFF. FY2026 inputs use the July 29 earnings release. The 10-K was filed just after market close on 5 August and used later to check the inputs.</x:v>
      </x:c>
    </x:row>
    <x:row r="6" ht="28" customHeight="1">
      <x:c r="A6" s="4"/>
      <x:c r="B6" s="7" t="str">
        <x:v>Core HCM revenue ex client-funds interest and PEO</x:v>
      </x:c>
      <x:c r="C6" s="105" t="n">
        <x:v>9768.6</x:v>
      </x:c>
      <x:c r="D6" s="105" t="n">
        <x:v>10505</x:v>
      </x:c>
      <x:c r="E6" s="105" t="n">
        <x:v>11222</x:v>
      </x:c>
      <x:c r="F6" s="105" t="n">
        <x:v>11953.6</x:v>
      </x:c>
      <x:c r="G6" s="105" t="n">
        <x:v>12692.2</x:v>
      </x:c>
      <x:c r="H6" s="105" t="n">
        <x:v>13476.8</x:v>
      </x:c>
      <x:c r="I6" s="6" t="str">
        <x:v>Derived from reported components</x:v>
      </x:c>
      <x:c r="J6" s="6" t="str">
        <x:v>A01/A03/A04</x:v>
      </x:c>
      <x:c r="K6" s="4"/>
    </x:row>
    <x:row r="7" ht="28" customHeight="1">
      <x:c r="A7" s="4"/>
      <x:c r="B7" s="7" t="str">
        <x:v>Interest on funds held for clients</x:v>
      </x:c>
      <x:c r="C7" s="105" t="n">
        <x:v>422.4</x:v>
      </x:c>
      <x:c r="D7" s="105" t="n">
        <x:v>451.8</x:v>
      </x:c>
      <x:c r="E7" s="105" t="n">
        <x:v>813.4</x:v>
      </x:c>
      <x:c r="F7" s="105" t="n">
        <x:v>1024.7</x:v>
      </x:c>
      <x:c r="G7" s="105" t="n">
        <x:v>1189.1</x:v>
      </x:c>
      <x:c r="H7" s="105" t="n">
        <x:v>1354.8</x:v>
      </x:c>
      <x:c r="I7" s="6" t="str">
        <x:v>Reported</x:v>
      </x:c>
      <x:c r="J7" s="6" t="str">
        <x:v>A01/A03/A04</x:v>
      </x:c>
      <x:c r="K7" s="4"/>
    </x:row>
    <x:row r="8" ht="23" customHeight="1">
      <x:c r="A8" s="4"/>
      <x:c r="B8" s="6" t="str">
        <x:v>PEO Services revenue</x:v>
      </x:c>
      <x:c r="C8" s="105" t="n">
        <x:v>4814.4</x:v>
      </x:c>
      <x:c r="D8" s="105" t="n">
        <x:v>5541.5</x:v>
      </x:c>
      <x:c r="E8" s="105" t="n">
        <x:v>5976.8</x:v>
      </x:c>
      <x:c r="F8" s="105" t="n">
        <x:v>6224.3</x:v>
      </x:c>
      <x:c r="G8" s="105" t="n">
        <x:v>6679.6</x:v>
      </x:c>
      <x:c r="H8" s="105" t="n">
        <x:v>7115.8</x:v>
      </x:c>
      <x:c r="I8" s="6" t="str">
        <x:v>Reported</x:v>
      </x:c>
      <x:c r="J8" s="6" t="str">
        <x:v>A01/A03/A04</x:v>
      </x:c>
      <x:c r="K8" s="4"/>
    </x:row>
    <x:row r="9" ht="23" customHeight="1">
      <x:c r="A9" s="4"/>
      <x:c r="B9" s="6" t="str">
        <x:v>Total revenue</x:v>
      </x:c>
      <x:c r="C9" s="97" t="n">
        <x:f>SUM(C6:C8)</x:f>
        <x:v>15005.4</x:v>
      </x:c>
      <x:c r="D9" s="97" t="n">
        <x:f>SUM(D6:D8)</x:f>
        <x:v>16498.3</x:v>
      </x:c>
      <x:c r="E9" s="97" t="n">
        <x:f>SUM(E6:E8)</x:f>
        <x:v>18012.2</x:v>
      </x:c>
      <x:c r="F9" s="97" t="n">
        <x:f>SUM(F6:F8)</x:f>
        <x:v>19202.600000000002</x:v>
      </x:c>
      <x:c r="G9" s="97" t="n">
        <x:f>SUM(G6:G8)</x:f>
        <x:v>20560.9</x:v>
      </x:c>
      <x:c r="H9" s="97" t="n">
        <x:f>SUM(H6:H8)</x:f>
        <x:v>21947.399999999998</x:v>
      </x:c>
      <x:c r="I9" s="6" t="str">
        <x:v>Reported and component tie</x:v>
      </x:c>
      <x:c r="J9" s="6" t="str">
        <x:v>A01/A03/A04</x:v>
      </x:c>
      <x:c r="K9" s="4"/>
    </x:row>
    <x:row r="10" ht="23" customHeight="1">
      <x:c r="A10" s="4"/>
      <x:c r="B10" s="6" t="str">
        <x:v>Revenue growth</x:v>
      </x:c>
      <x:c r="C10" s="6" t="str">
        <x:v>N/M</x:v>
      </x:c>
      <x:c r="D10" s="136" t="n">
        <x:f>D9/C9-1</x:f>
        <x:v>0.0994908499606808</x:v>
      </x:c>
      <x:c r="E10" s="136" t="n">
        <x:f>E9/D9-1</x:f>
        <x:v>0.09176096931198985</x:v>
      </x:c>
      <x:c r="F10" s="136" t="n">
        <x:f>F9/E9-1</x:f>
        <x:v>0.06608853998956277</x:v>
      </x:c>
      <x:c r="G10" s="136" t="n">
        <x:f>G9/F9-1</x:f>
        <x:v>0.07073521293991436</x:v>
      </x:c>
      <x:c r="H10" s="136" t="n">
        <x:f>H9/G9-1</x:f>
        <x:v>0.06743381855852593</x:v>
      </x:c>
      <x:c r="I10" s="6" t="str">
        <x:v>Derived</x:v>
      </x:c>
      <x:c r="J10" s="6" t="str">
        <x:v>A01/A03/A04</x:v>
      </x:c>
      <x:c r="K10" s="4"/>
    </x:row>
    <x:row r="11" ht="23" customHeight="1">
      <x:c r="A11" s="4"/>
      <x:c r="B11" s="6" t="str">
        <x:v>Operating expenses</x:v>
      </x:c>
      <x:c r="C11" s="105" t="n">
        <x:v>7520.7</x:v>
      </x:c>
      <x:c r="D11" s="105" t="n">
        <x:v>8252.6</x:v>
      </x:c>
      <x:c r="E11" s="105" t="n">
        <x:v>8657.4</x:v>
      </x:c>
      <x:c r="F11" s="105" t="n">
        <x:v>9050.1</x:v>
      </x:c>
      <x:c r="G11" s="105" t="n">
        <x:v>9622.7</x:v>
      </x:c>
      <x:c r="H11" s="105" t="n">
        <x:v>10240.6</x:v>
      </x:c>
      <x:c r="I11" s="6" t="str">
        <x:v>Reported</x:v>
      </x:c>
      <x:c r="J11" s="6" t="str">
        <x:v>A01/A03/A04</x:v>
      </x:c>
      <x:c r="K11" s="4"/>
    </x:row>
    <x:row r="12" ht="28" customHeight="1">
      <x:c r="A12" s="4"/>
      <x:c r="B12" s="7" t="str">
        <x:v>Systems development &amp; programming</x:v>
      </x:c>
      <x:c r="C12" s="105" t="n">
        <x:v>716.6</x:v>
      </x:c>
      <x:c r="D12" s="105" t="n">
        <x:v>798.6</x:v>
      </x:c>
      <x:c r="E12" s="105" t="n">
        <x:v>844.8</x:v>
      </x:c>
      <x:c r="F12" s="105" t="n">
        <x:v>955.7</x:v>
      </x:c>
      <x:c r="G12" s="105" t="n">
        <x:v>988.6</x:v>
      </x:c>
      <x:c r="H12" s="105" t="n">
        <x:v>1028.8</x:v>
      </x:c>
      <x:c r="I12" s="6" t="str">
        <x:v>Reported</x:v>
      </x:c>
      <x:c r="J12" s="6" t="str">
        <x:v>A01/A03/A04</x:v>
      </x:c>
      <x:c r="K12" s="4"/>
    </x:row>
    <x:row r="13" ht="23" customHeight="1">
      <x:c r="A13" s="4"/>
      <x:c r="B13" s="6" t="str">
        <x:v>D&amp;A in cost of revenues</x:v>
      </x:c>
      <x:c r="C13" s="105" t="n">
        <x:v>403</x:v>
      </x:c>
      <x:c r="D13" s="105" t="n">
        <x:v>410.7</x:v>
      </x:c>
      <x:c r="E13" s="105" t="n">
        <x:v>451.2</x:v>
      </x:c>
      <x:c r="F13" s="105" t="n">
        <x:v>470.9</x:v>
      </x:c>
      <x:c r="G13" s="105" t="n">
        <x:v>486</x:v>
      </x:c>
      <x:c r="H13" s="105" t="n">
        <x:v>490.8</x:v>
      </x:c>
      <x:c r="I13" s="6" t="str">
        <x:v>Reported</x:v>
      </x:c>
      <x:c r="J13" s="6" t="str">
        <x:v>A01/A03/A04</x:v>
      </x:c>
      <x:c r="K13" s="4"/>
    </x:row>
    <x:row r="14" ht="23" customHeight="1">
      <x:c r="A14" s="4"/>
      <x:c r="B14" s="6" t="str">
        <x:v>Total costs of revenues</x:v>
      </x:c>
      <x:c r="C14" s="105" t="n">
        <x:v>8640.3</x:v>
      </x:c>
      <x:c r="D14" s="105" t="n">
        <x:v>9461.9</x:v>
      </x:c>
      <x:c r="E14" s="105" t="n">
        <x:v>9953.4</x:v>
      </x:c>
      <x:c r="F14" s="105" t="n">
        <x:v>10476.7</x:v>
      </x:c>
      <x:c r="G14" s="105" t="n">
        <x:v>11097.3</x:v>
      </x:c>
      <x:c r="H14" s="105" t="n">
        <x:v>11760.2</x:v>
      </x:c>
      <x:c r="I14" s="6" t="str">
        <x:v>Reported</x:v>
      </x:c>
      <x:c r="J14" s="6" t="str">
        <x:v>A01/A03/A04</x:v>
      </x:c>
      <x:c r="K14" s="4"/>
    </x:row>
    <x:row r="15" ht="28" customHeight="1">
      <x:c r="A15" s="4"/>
      <x:c r="B15" s="7" t="str">
        <x:v>Selling, general &amp; administrative</x:v>
      </x:c>
      <x:c r="C15" s="105" t="n">
        <x:v>3040.5</x:v>
      </x:c>
      <x:c r="D15" s="105" t="n">
        <x:v>3233.2</x:v>
      </x:c>
      <x:c r="E15" s="105" t="n">
        <x:v>3551.4</x:v>
      </x:c>
      <x:c r="F15" s="105" t="n">
        <x:v>3778.9</x:v>
      </x:c>
      <x:c r="G15" s="105" t="n">
        <x:v>4051.7</x:v>
      </x:c>
      <x:c r="H15" s="105" t="n">
        <x:v>4408.2</x:v>
      </x:c>
      <x:c r="I15" s="6" t="str">
        <x:v>Reported</x:v>
      </x:c>
      <x:c r="J15" s="6" t="str">
        <x:v>A01/A03/A04</x:v>
      </x:c>
      <x:c r="K15" s="4"/>
    </x:row>
    <x:row r="16" ht="28" customHeight="1">
      <x:c r="A16" s="4"/>
      <x:c r="B16" s="7" t="str">
        <x:v>Operating EBIT (calculated before net other income)</x:v>
      </x:c>
      <x:c r="C16" s="97" t="n">
        <x:f>C9-C14-C15</x:f>
        <x:v>3324.6000000000004</x:v>
      </x:c>
      <x:c r="D16" s="97" t="n">
        <x:f>D9-D14-D15</x:f>
        <x:v>3803.2</x:v>
      </x:c>
      <x:c r="E16" s="97" t="n">
        <x:f>E9-E14-E15</x:f>
        <x:v>4507.4000000000015</x:v>
      </x:c>
      <x:c r="F16" s="97" t="n">
        <x:f>F9-F14-F15</x:f>
        <x:v>4947.000000000002</x:v>
      </x:c>
      <x:c r="G16" s="97" t="n">
        <x:f>G9-G14-G15</x:f>
        <x:v>5411.900000000002</x:v>
      </x:c>
      <x:c r="H16" s="97" t="n">
        <x:f>H9-H14-H15</x:f>
        <x:v>5778.999999999997</x:v>
      </x:c>
      <x:c r="I16" s="6" t="str">
        <x:v>Derived from reported statement</x:v>
      </x:c>
      <x:c r="J16" s="6" t="str">
        <x:v>A01/A03/A04</x:v>
      </x:c>
      <x:c r="K16" s="4"/>
    </x:row>
    <x:row r="17" ht="23" customHeight="1">
      <x:c r="A17" s="4"/>
      <x:c r="B17" s="6" t="str">
        <x:v>Operating margin</x:v>
      </x:c>
      <x:c r="C17" s="136" t="n">
        <x:f>C16/C9</x:f>
        <x:v>0.2215602383142069</x:v>
      </x:c>
      <x:c r="D17" s="136" t="n">
        <x:f>D16/D9</x:f>
        <x:v>0.23052072031663867</x:v>
      </x:c>
      <x:c r="E17" s="136" t="n">
        <x:f>E16/E9</x:f>
        <x:v>0.25024150298131276</x:v>
      </x:c>
      <x:c r="F17" s="136" t="n">
        <x:f>F16/F9</x:f>
        <x:v>0.25762136377365574</x:v>
      </x:c>
      <x:c r="G17" s="136" t="n">
        <x:f>G16/G9</x:f>
        <x:v>0.2632131861932115</x:v>
      </x:c>
      <x:c r="H17" s="136" t="n">
        <x:f>H16/H9</x:f>
        <x:v>0.2633113717342372</x:v>
      </x:c>
      <x:c r="I17" s="6" t="str">
        <x:v>Derived</x:v>
      </x:c>
      <x:c r="J17" s="6" t="str">
        <x:v>A01/A03/A04</x:v>
      </x:c>
      <x:c r="K17" s="4"/>
    </x:row>
    <x:row r="18" ht="23" customHeight="1">
      <x:c r="A18" s="4"/>
      <x:c r="B18" s="6" t="str">
        <x:v>Interest expense</x:v>
      </x:c>
      <x:c r="C18" s="105" t="n">
        <x:v>59.7</x:v>
      </x:c>
      <x:c r="D18" s="105" t="n">
        <x:v>81.9</x:v>
      </x:c>
      <x:c r="E18" s="105" t="n">
        <x:v>253.3</x:v>
      </x:c>
      <x:c r="F18" s="105" t="n">
        <x:v>361.4</x:v>
      </x:c>
      <x:c r="G18" s="105" t="n">
        <x:v>455.9</x:v>
      </x:c>
      <x:c r="H18" s="105" t="n">
        <x:v>459.3</x:v>
      </x:c>
      <x:c r="I18" s="6" t="str">
        <x:v>Reported</x:v>
      </x:c>
      <x:c r="J18" s="6" t="str">
        <x:v>A01/A03/A04</x:v>
      </x:c>
      <x:c r="K18" s="4"/>
    </x:row>
    <x:row r="19" ht="23" customHeight="1">
      <x:c r="A19" s="4"/>
      <x:c r="B19" s="6" t="str">
        <x:v>Other (income) / expense, net</x:v>
      </x:c>
      <x:c r="C19" s="105" t="n">
        <x:v>-96.3</x:v>
      </x:c>
      <x:c r="D19" s="105" t="n">
        <x:v>-82.8</x:v>
      </x:c>
      <x:c r="E19" s="105" t="n">
        <x:v>-183.5</x:v>
      </x:c>
      <x:c r="F19" s="105" t="n">
        <x:v>-286.7</x:v>
      </x:c>
      <x:c r="G19" s="105" t="n">
        <x:v>-354.1</x:v>
      </x:c>
      <x:c r="H19" s="105" t="n">
        <x:v>-410.6</x:v>
      </x:c>
      <x:c r="I19" s="6" t="str">
        <x:v>Reported; negative is income</x:v>
      </x:c>
      <x:c r="J19" s="6" t="str">
        <x:v>A01/A03/A04</x:v>
      </x:c>
      <x:c r="K19" s="4"/>
    </x:row>
    <x:row r="20" ht="23" customHeight="1">
      <x:c r="A20" s="4"/>
      <x:c r="B20" s="6" t="str">
        <x:v>Earnings before income taxes</x:v>
      </x:c>
      <x:c r="C20" s="97" t="n">
        <x:f>C16-C18-C19</x:f>
        <x:v>3361.2000000000007</x:v>
      </x:c>
      <x:c r="D20" s="97" t="n">
        <x:f>D16-D18-D19</x:f>
        <x:v>3804.1</x:v>
      </x:c>
      <x:c r="E20" s="97" t="n">
        <x:f>E16-E18-E19</x:f>
        <x:v>4437.600000000001</x:v>
      </x:c>
      <x:c r="F20" s="97" t="n">
        <x:f>F16-F18-F19</x:f>
        <x:v>4872.300000000002</x:v>
      </x:c>
      <x:c r="G20" s="97" t="n">
        <x:f>G16-G18-G19</x:f>
        <x:v>5310.100000000003</x:v>
      </x:c>
      <x:c r="H20" s="97" t="n">
        <x:f>H16-H18-H19</x:f>
        <x:v>5730.299999999997</x:v>
      </x:c>
      <x:c r="I20" s="6" t="str">
        <x:v>Reported</x:v>
      </x:c>
      <x:c r="J20" s="6" t="str">
        <x:v>A01/A03/A04</x:v>
      </x:c>
      <x:c r="K20" s="4"/>
    </x:row>
    <x:row r="21" ht="23" customHeight="1">
      <x:c r="A21" s="4"/>
      <x:c r="B21" s="6" t="str">
        <x:v>Income taxes</x:v>
      </x:c>
      <x:c r="C21" s="105" t="n">
        <x:v>762.7</x:v>
      </x:c>
      <x:c r="D21" s="105" t="n">
        <x:v>855.2</x:v>
      </x:c>
      <x:c r="E21" s="105" t="n">
        <x:v>1025.6</x:v>
      </x:c>
      <x:c r="F21" s="105" t="n">
        <x:v>1120.3</x:v>
      </x:c>
      <x:c r="G21" s="105" t="n">
        <x:v>1230.4</x:v>
      </x:c>
      <x:c r="H21" s="105" t="n">
        <x:v>1316.8</x:v>
      </x:c>
      <x:c r="I21" s="6" t="str">
        <x:v>Reported</x:v>
      </x:c>
      <x:c r="J21" s="6" t="str">
        <x:v>A01/A03/A04</x:v>
      </x:c>
      <x:c r="K21" s="4"/>
    </x:row>
    <x:row r="22" ht="23" customHeight="1">
      <x:c r="A22" s="4"/>
      <x:c r="B22" s="6" t="str">
        <x:v>Effective tax rate</x:v>
      </x:c>
      <x:c r="C22" s="136" t="n">
        <x:f>C21/C20</x:f>
        <x:v>0.22691300725931213</x:v>
      </x:c>
      <x:c r="D22" s="136" t="n">
        <x:f>D21/D20</x:f>
        <x:v>0.22481007334192057</x:v>
      </x:c>
      <x:c r="E22" s="136" t="n">
        <x:f>E21/E20</x:f>
        <x:v>0.23111591851451227</x:v>
      </x:c>
      <x:c r="F22" s="136" t="n">
        <x:f>F21/F20</x:f>
        <x:v>0.22993247542228507</x:v>
      </x:c>
      <x:c r="G22" s="136" t="n">
        <x:f>G21/G20</x:f>
        <x:v>0.2317093840040676</x:v>
      </x:c>
      <x:c r="H22" s="136" t="n">
        <x:f>H21/H20</x:f>
        <x:v>0.22979599671919454</x:v>
      </x:c>
      <x:c r="I22" s="6" t="str">
        <x:v>Derived</x:v>
      </x:c>
      <x:c r="J22" s="6" t="str">
        <x:v>A01/A03/A04</x:v>
      </x:c>
      <x:c r="K22" s="4"/>
    </x:row>
    <x:row r="23" ht="23" customHeight="1">
      <x:c r="A23" s="4"/>
      <x:c r="B23" s="6" t="str">
        <x:v>Net earnings</x:v>
      </x:c>
      <x:c r="C23" s="105" t="n">
        <x:v>2598.5</x:v>
      </x:c>
      <x:c r="D23" s="105" t="n">
        <x:v>2948.9</x:v>
      </x:c>
      <x:c r="E23" s="105" t="n">
        <x:v>3412</x:v>
      </x:c>
      <x:c r="F23" s="105" t="n">
        <x:v>3752</x:v>
      </x:c>
      <x:c r="G23" s="105" t="n">
        <x:v>4079.7</x:v>
      </x:c>
      <x:c r="H23" s="105" t="n">
        <x:v>4413.5</x:v>
      </x:c>
      <x:c r="I23" s="6" t="str">
        <x:v>Reported</x:v>
      </x:c>
      <x:c r="J23" s="6" t="str">
        <x:v>A01/A03/A04</x:v>
      </x:c>
      <x:c r="K23" s="4"/>
    </x:row>
    <x:row r="24" ht="23" customHeight="1">
      <x:c r="A24" s="4"/>
      <x:c r="B24" s="6" t="str">
        <x:v>Diluted weighted-average shares</x:v>
      </x:c>
      <x:c r="C24" s="105" t="n">
        <x:v>428.1</x:v>
      </x:c>
      <x:c r="D24" s="105" t="n">
        <x:v>421.1</x:v>
      </x:c>
      <x:c r="E24" s="105" t="n">
        <x:v>415.7</x:v>
      </x:c>
      <x:c r="F24" s="105" t="n">
        <x:v>412.2</x:v>
      </x:c>
      <x:c r="G24" s="105" t="n">
        <x:v>408.7</x:v>
      </x:c>
      <x:c r="H24" s="105" t="n">
        <x:v>403.3</x:v>
      </x:c>
      <x:c r="I24" s="6" t="str">
        <x:v>Reported</x:v>
      </x:c>
      <x:c r="J24" s="6" t="str">
        <x:v>A01/A03/A04</x:v>
      </x:c>
      <x:c r="K24" s="4"/>
    </x:row>
    <x:row r="25" ht="23" customHeight="1">
      <x:c r="A25" s="4"/>
      <x:c r="B25" s="6" t="str">
        <x:v>Diluted EPS</x:v>
      </x:c>
      <x:c r="C25" s="138" t="n">
        <x:f>C23/C24</x:f>
        <x:v>6.069843494510628</x:v>
      </x:c>
      <x:c r="D25" s="138" t="n">
        <x:f>D23/D24</x:f>
        <x:v>7.002849679411066</x:v>
      </x:c>
      <x:c r="E25" s="138" t="n">
        <x:f>E23/E24</x:f>
        <x:v>8.207842193889825</x:v>
      </x:c>
      <x:c r="F25" s="138" t="n">
        <x:f>F23/F24</x:f>
        <x:v>9.102377486656962</x:v>
      </x:c>
      <x:c r="G25" s="138" t="n">
        <x:f>G23/G24</x:f>
        <x:v>9.982138487888427</x:v>
      </x:c>
      <x:c r="H25" s="138" t="n">
        <x:f>H23/H24</x:f>
        <x:v>10.943466402181999</x:v>
      </x:c>
      <x:c r="I25" s="6" t="str">
        <x:v>Derived</x:v>
      </x:c>
      <x:c r="J25" s="6" t="str">
        <x:v>A01/A03/A04</x:v>
      </x:c>
      <x:c r="K25" s="4"/>
    </x:row>
    <x:row r="26" ht="23" customHeight="1">
      <x:c r="A26" s="4"/>
      <x:c r="B26" s="6" t="str">
        <x:v>Cash flow from operations</x:v>
      </x:c>
      <x:c r="C26" s="105" t="n">
        <x:v>3093.3</x:v>
      </x:c>
      <x:c r="D26" s="105" t="n">
        <x:v>3099.5</x:v>
      </x:c>
      <x:c r="E26" s="105" t="n">
        <x:v>4207.6</x:v>
      </x:c>
      <x:c r="F26" s="105" t="n">
        <x:v>4157.6</x:v>
      </x:c>
      <x:c r="G26" s="105" t="n">
        <x:v>4939.7</x:v>
      </x:c>
      <x:c r="H26" s="105" t="n">
        <x:v>5441.2</x:v>
      </x:c>
      <x:c r="I26" s="6" t="str">
        <x:v>Reported</x:v>
      </x:c>
      <x:c r="J26" s="6" t="str">
        <x:v>A01/A03/A04</x:v>
      </x:c>
      <x:c r="K26" s="4"/>
    </x:row>
    <x:row r="27" ht="23" customHeight="1">
      <x:c r="A27" s="4"/>
      <x:c r="B27" s="6" t="str">
        <x:v>D&amp;A (cash-flow statement)</x:v>
      </x:c>
      <x:c r="C27" s="105" t="n">
        <x:v>510.7</x:v>
      </x:c>
      <x:c r="D27" s="105" t="n">
        <x:v>515.1</x:v>
      </x:c>
      <x:c r="E27" s="105" t="n">
        <x:v>549.3</x:v>
      </x:c>
      <x:c r="F27" s="105" t="n">
        <x:v>561.9</x:v>
      </x:c>
      <x:c r="G27" s="105" t="n">
        <x:v>582.4</x:v>
      </x:c>
      <x:c r="H27" s="105" t="n">
        <x:v>585.9</x:v>
      </x:c>
      <x:c r="I27" s="6" t="str">
        <x:v>Reported</x:v>
      </x:c>
      <x:c r="J27" s="6" t="str">
        <x:v>A01/A03/A04</x:v>
      </x:c>
      <x:c r="K27" s="4"/>
    </x:row>
    <x:row r="28" ht="23" customHeight="1">
      <x:c r="A28" s="4"/>
      <x:c r="B28" s="6" t="str">
        <x:v>Stock-based compensation</x:v>
      </x:c>
      <x:c r="C28" s="105" t="n">
        <x:v>175.3</x:v>
      </x:c>
      <x:c r="D28" s="105" t="n">
        <x:v>201.7</x:v>
      </x:c>
      <x:c r="E28" s="105" t="n">
        <x:v>220.4</x:v>
      </x:c>
      <x:c r="F28" s="105" t="n">
        <x:v>243.5</x:v>
      </x:c>
      <x:c r="G28" s="105" t="n">
        <x:v>266.1</x:v>
      </x:c>
      <x:c r="H28" s="105" t="n">
        <x:v>242.6</x:v>
      </x:c>
      <x:c r="I28" s="6" t="str">
        <x:v>Reported</x:v>
      </x:c>
      <x:c r="J28" s="6" t="str">
        <x:v>A01/A03/A04</x:v>
      </x:c>
      <x:c r="K28" s="4"/>
    </x:row>
    <x:row r="29" ht="23" customHeight="1">
      <x:c r="A29" s="4"/>
      <x:c r="B29" s="6" t="str">
        <x:v>Purchases of PP&amp;E</x:v>
      </x:c>
      <x:c r="C29" s="105" t="n">
        <x:v>178.6</x:v>
      </x:c>
      <x:c r="D29" s="105" t="n">
        <x:v>174.4</x:v>
      </x:c>
      <x:c r="E29" s="105" t="n">
        <x:v>206.3</x:v>
      </x:c>
      <x:c r="F29" s="105" t="n">
        <x:v>208.4</x:v>
      </x:c>
      <x:c r="G29" s="105" t="n">
        <x:v>168.7</x:v>
      </x:c>
      <x:c r="H29" s="105" t="n">
        <x:v>196.6</x:v>
      </x:c>
      <x:c r="I29" s="6" t="str">
        <x:v>Reported</x:v>
      </x:c>
      <x:c r="J29" s="6" t="str">
        <x:v>A01/A03/A04</x:v>
      </x:c>
      <x:c r="K29" s="4"/>
    </x:row>
    <x:row r="30" ht="23" customHeight="1">
      <x:c r="A30" s="4"/>
      <x:c r="B30" s="6" t="str">
        <x:v>Additions to intangibles</x:v>
      </x:c>
      <x:c r="C30" s="105" t="n">
        <x:v>327.3</x:v>
      </x:c>
      <x:c r="D30" s="105" t="n">
        <x:v>379</x:v>
      </x:c>
      <x:c r="E30" s="105" t="n">
        <x:v>365.3</x:v>
      </x:c>
      <x:c r="F30" s="105" t="n">
        <x:v>355</x:v>
      </x:c>
      <x:c r="G30" s="105" t="n">
        <x:v>378.3</x:v>
      </x:c>
      <x:c r="H30" s="105" t="n">
        <x:v>468.5</x:v>
      </x:c>
      <x:c r="I30" s="6" t="str">
        <x:v>Reported</x:v>
      </x:c>
      <x:c r="J30" s="6" t="str">
        <x:v>A01/A03/A04</x:v>
      </x:c>
      <x:c r="K30" s="4"/>
    </x:row>
    <x:row r="31" ht="23" customHeight="1">
      <x:c r="A31" s="4"/>
      <x:c r="B31" s="6" t="str">
        <x:v>Total capital expenditures</x:v>
      </x:c>
      <x:c r="C31" s="97" t="n">
        <x:f>C29+C30</x:f>
        <x:v>505.9</x:v>
      </x:c>
      <x:c r="D31" s="97" t="n">
        <x:f>D29+D30</x:f>
        <x:v>553.4</x:v>
      </x:c>
      <x:c r="E31" s="97" t="n">
        <x:f>E29+E30</x:f>
        <x:v>571.6</x:v>
      </x:c>
      <x:c r="F31" s="97" t="n">
        <x:f>F29+F30</x:f>
        <x:v>563.4</x:v>
      </x:c>
      <x:c r="G31" s="97" t="n">
        <x:f>G29+G30</x:f>
        <x:v>547</x:v>
      </x:c>
      <x:c r="H31" s="97" t="n">
        <x:f>H29+H30</x:f>
        <x:v>665.1</x:v>
      </x:c>
      <x:c r="I31" s="6" t="str">
        <x:v>Derived: PP&amp;E + intangibles</x:v>
      </x:c>
      <x:c r="J31" s="6" t="str">
        <x:v>A01/A03/A04</x:v>
      </x:c>
      <x:c r="K31" s="4"/>
    </x:row>
    <x:row r="32" ht="28" customHeight="1">
      <x:c r="A32" s="4"/>
      <x:c r="B32" s="7" t="str">
        <x:v>Free cash flow = CFO − total capex</x:v>
      </x:c>
      <x:c r="C32" s="97" t="n">
        <x:f>C26-C31</x:f>
        <x:v>2587.4</x:v>
      </x:c>
      <x:c r="D32" s="97" t="n">
        <x:f>D26-D31</x:f>
        <x:v>2546.1</x:v>
      </x:c>
      <x:c r="E32" s="97" t="n">
        <x:f>E26-E31</x:f>
        <x:v>3636.0000000000005</x:v>
      </x:c>
      <x:c r="F32" s="97" t="n">
        <x:f>F26-F31</x:f>
        <x:v>3594.2000000000003</x:v>
      </x:c>
      <x:c r="G32" s="97" t="n">
        <x:f>G26-G31</x:f>
        <x:v>4392.7</x:v>
      </x:c>
      <x:c r="H32" s="97" t="n">
        <x:f>H26-H31</x:f>
        <x:v>4776.099999999999</x:v>
      </x:c>
      <x:c r="I32" s="6" t="str">
        <x:v>Derived, not FCFF</x:v>
      </x:c>
      <x:c r="J32" s="6" t="str">
        <x:v>A01/A03/A04</x:v>
      </x:c>
      <x:c r="K32" s="4"/>
    </x:row>
    <x:row r="33" ht="23" customHeight="1">
      <x:c r="A33" s="4"/>
      <x:c r="B33" s="6" t="str">
        <x:v>FCF margin</x:v>
      </x:c>
      <x:c r="C33" s="136" t="n">
        <x:f>C32/C9</x:f>
        <x:v>0.1724312580804244</x:v>
      </x:c>
      <x:c r="D33" s="136" t="n">
        <x:f>D32/D9</x:f>
        <x:v>0.15432499105968495</x:v>
      </x:c>
      <x:c r="E33" s="136" t="n">
        <x:f>E32/E9</x:f>
        <x:v>0.20186318162134556</x:v>
      </x:c>
      <x:c r="F33" s="136" t="n">
        <x:f>F32/F9</x:f>
        <x:v>0.18717257038109422</x:v>
      </x:c>
      <x:c r="G33" s="136" t="n">
        <x:f>G32/G9</x:f>
        <x:v>0.2136433716422919</x:v>
      </x:c>
      <x:c r="H33" s="136" t="n">
        <x:f>H32/H9</x:f>
        <x:v>0.21761575403009012</x:v>
      </x:c>
      <x:c r="I33" s="6" t="str">
        <x:v>Derived</x:v>
      </x:c>
      <x:c r="J33" s="6" t="str">
        <x:v>A01/A03/A04</x:v>
      </x:c>
      <x:c r="K33" s="4"/>
    </x:row>
    <x:row r="34" ht="23" customHeight="1">
      <x:c r="A34" s="4"/>
      <x:c r="B34" s="6" t="str">
        <x:v>Business acquisitions</x:v>
      </x:c>
      <x:c r="C34" s="105" t="n">
        <x:v>0</x:v>
      </x:c>
      <x:c r="D34" s="105" t="n">
        <x:v>11.7</x:v>
      </x:c>
      <x:c r="E34" s="105" t="n">
        <x:v>32.4</x:v>
      </x:c>
      <x:c r="F34" s="105" t="n">
        <x:v>33.6</x:v>
      </x:c>
      <x:c r="G34" s="105" t="n">
        <x:v>1165.1</x:v>
      </x:c>
      <x:c r="H34" s="105" t="n">
        <x:v>22.8</x:v>
      </x:c>
      <x:c r="I34" s="6" t="str">
        <x:v>Reported. Excluded from FCFF</x:v>
      </x:c>
      <x:c r="J34" s="6" t="str">
        <x:v>A01/A03/A04</x:v>
      </x:c>
      <x:c r="K34" s="4"/>
    </x:row>
    <x:row r="35" ht="23" customHeight="1">
      <x:c r="A35" s="4"/>
      <x:c r="B35" s="6" t="str">
        <x:v>Share repurchases</x:v>
      </x:c>
      <x:c r="C35" s="105" t="n">
        <x:v>1372.3</x:v>
      </x:c>
      <x:c r="D35" s="105" t="n">
        <x:v>1969.4</x:v>
      </x:c>
      <x:c r="E35" s="105" t="n">
        <x:v>1121.4</x:v>
      </x:c>
      <x:c r="F35" s="105" t="n">
        <x:v>1231.7</x:v>
      </x:c>
      <x:c r="G35" s="105" t="n">
        <x:v>1280.5</x:v>
      </x:c>
      <x:c r="H35" s="105" t="n">
        <x:v>2083.3</x:v>
      </x:c>
      <x:c r="I35" s="6" t="str">
        <x:v>Reported</x:v>
      </x:c>
      <x:c r="J35" s="6" t="str">
        <x:v>A01/A03/A04</x:v>
      </x:c>
      <x:c r="K35" s="4"/>
    </x:row>
    <x:row r="36" ht="23" customHeight="1">
      <x:c r="A36" s="4"/>
      <x:c r="B36" s="6" t="str">
        <x:v>Dividends paid</x:v>
      </x:c>
      <x:c r="C36" s="105" t="n">
        <x:v>1575.5</x:v>
      </x:c>
      <x:c r="D36" s="105" t="n">
        <x:v>1659</x:v>
      </x:c>
      <x:c r="E36" s="105" t="n">
        <x:v>1903.6</x:v>
      </x:c>
      <x:c r="F36" s="105" t="n">
        <x:v>2183.1</x:v>
      </x:c>
      <x:c r="G36" s="105" t="n">
        <x:v>2398.9</x:v>
      </x:c>
      <x:c r="H36" s="105" t="n">
        <x:v>2626.3</x:v>
      </x:c>
      <x:c r="I36" s="6" t="str">
        <x:v>Reported</x:v>
      </x:c>
      <x:c r="J36" s="6" t="str">
        <x:v>A01/A03/A04</x:v>
      </x:c>
      <x:c r="K36" s="4"/>
    </x:row>
    <x:row r="37" ht="23" customHeight="1">
      <x:c r="A37" s="4"/>
      <x:c r="B37" s="4"/>
      <x:c r="C37" s="4"/>
      <x:c r="D37" s="4"/>
      <x:c r="E37" s="4"/>
      <x:c r="F37" s="4"/>
      <x:c r="G37" s="4"/>
      <x:c r="H37" s="4"/>
      <x:c r="I37" s="4"/>
      <x:c r="J37" s="4"/>
      <x:c r="K37" s="4"/>
    </x:row>
    <x:row r="38" ht="23" customHeight="1">
      <x:c r="A38" s="4"/>
      <x:c r="B38" s="4"/>
      <x:c r="C38" s="4"/>
      <x:c r="D38" s="4"/>
      <x:c r="E38" s="4"/>
      <x:c r="F38" s="4"/>
      <x:c r="G38" s="4"/>
      <x:c r="H38" s="4"/>
      <x:c r="I38" s="4"/>
      <x:c r="J38" s="4"/>
      <x:c r="K38" s="4"/>
    </x:row>
    <x:row r="39" ht="23" customHeight="1">
      <x:c r="A39" s="4"/>
      <x:c r="B39" s="4"/>
      <x:c r="C39" s="4"/>
      <x:c r="D39" s="4"/>
      <x:c r="E39" s="4"/>
      <x:c r="F39" s="4"/>
      <x:c r="G39" s="4"/>
      <x:c r="H39" s="4"/>
      <x:c r="I39" s="4"/>
      <x:c r="J39" s="4"/>
      <x:c r="K39" s="4"/>
    </x:row>
    <x:row r="40" ht="28" customHeight="1">
      <x:c r="A40" s="4"/>
      <x:c r="B40" s="7" t="str">
        <x:v>Corporate Balance Sheet and Operating KPIs</x:v>
      </x:c>
      <x:c r="C40" s="4"/>
      <x:c r="D40" s="4"/>
      <x:c r="E40" s="4"/>
      <x:c r="F40" s="4"/>
      <x:c r="G40" s="4"/>
      <x:c r="H40" s="4"/>
      <x:c r="I40" s="4"/>
      <x:c r="J40" s="4"/>
      <x:c r="K40" s="4"/>
    </x:row>
    <x:row r="41" ht="34" customHeight="1">
      <x:c r="A41" s="4"/>
      <x:c r="B41" s="40" t="str">
        <x:v>Metric</x:v>
      </x:c>
      <x:c r="C41" s="40" t="str">
        <x:v>FY2021A</x:v>
      </x:c>
      <x:c r="D41" s="40" t="str">
        <x:v>FY2022A</x:v>
      </x:c>
      <x:c r="E41" s="40" t="str">
        <x:v>FY2023A</x:v>
      </x:c>
      <x:c r="F41" s="40" t="str">
        <x:v>FY2024A</x:v>
      </x:c>
      <x:c r="G41" s="40" t="str">
        <x:v>FY2025A</x:v>
      </x:c>
      <x:c r="H41" s="40" t="str">
        <x:v>FY2026A</x:v>
      </x:c>
      <x:c r="I41" s="40" t="str">
        <x:v>Status</x:v>
      </x:c>
      <x:c r="J41" s="40" t="str">
        <x:v>Source ID</x:v>
      </x:c>
      <x:c r="K41" s="42"/>
    </x:row>
    <x:row r="42" ht="23" customHeight="1">
      <x:c r="A42" s="4"/>
      <x:c r="B42" s="6" t="str">
        <x:v>Cash &amp; cash equivalents</x:v>
      </x:c>
      <x:c r="C42" s="168" t="str">
        <x:v>N/D</x:v>
      </x:c>
      <x:c r="D42" s="168" t="str">
        <x:v>N/D</x:v>
      </x:c>
      <x:c r="E42" s="168" t="str">
        <x:v>N/D</x:v>
      </x:c>
      <x:c r="F42" s="168" t="str">
        <x:v>N/D</x:v>
      </x:c>
      <x:c r="G42" s="168" t="str">
        <x:v>N/D</x:v>
      </x:c>
      <x:c r="H42" s="105" t="n">
        <x:v>4230.1</x:v>
      </x:c>
      <x:c r="I42" s="6" t="str">
        <x:v>FY2026 reported</x:v>
      </x:c>
      <x:c r="J42" s="6" t="str">
        <x:v>A01</x:v>
      </x:c>
      <x:c r="K42" s="4"/>
    </x:row>
    <x:row r="43" ht="28" customHeight="1">
      <x:c r="A43" s="4"/>
      <x:c r="B43" s="6" t="str">
        <x:v>Funds held for clients</x:v>
      </x:c>
      <x:c r="C43" s="168" t="str">
        <x:v>N/D</x:v>
      </x:c>
      <x:c r="D43" s="168" t="str">
        <x:v>N/D</x:v>
      </x:c>
      <x:c r="E43" s="168" t="str">
        <x:v>N/D</x:v>
      </x:c>
      <x:c r="F43" s="168" t="str">
        <x:v>N/D</x:v>
      </x:c>
      <x:c r="G43" s="168" t="str">
        <x:v>N/D</x:v>
      </x:c>
      <x:c r="H43" s="105" t="n">
        <x:v>43957.8</x:v>
      </x:c>
      <x:c r="I43" s="7" t="str">
        <x:v>Client funds. Excluded from corporate cash</x:v>
      </x:c>
      <x:c r="J43" s="6" t="str">
        <x:v>A01</x:v>
      </x:c>
      <x:c r="K43" s="4"/>
    </x:row>
    <x:row r="44" ht="28" customHeight="1">
      <x:c r="A44" s="4"/>
      <x:c r="B44" s="6" t="str">
        <x:v>Client funds obligations</x:v>
      </x:c>
      <x:c r="C44" s="168" t="str">
        <x:v>N/D</x:v>
      </x:c>
      <x:c r="D44" s="168" t="str">
        <x:v>N/D</x:v>
      </x:c>
      <x:c r="E44" s="168" t="str">
        <x:v>N/D</x:v>
      </x:c>
      <x:c r="F44" s="168" t="str">
        <x:v>N/D</x:v>
      </x:c>
      <x:c r="G44" s="168" t="str">
        <x:v>N/D</x:v>
      </x:c>
      <x:c r="H44" s="105" t="n">
        <x:v>44415.5</x:v>
      </x:c>
      <x:c r="I44" s="7" t="str">
        <x:v>Operational float liability; excluded from debt</x:v>
      </x:c>
      <x:c r="J44" s="6" t="str">
        <x:v>A01</x:v>
      </x:c>
      <x:c r="K44" s="4"/>
    </x:row>
    <x:row r="45" ht="28" customHeight="1">
      <x:c r="A45" s="4"/>
      <x:c r="B45" s="6" t="str">
        <x:v>Reverse repurchase obligations</x:v>
      </x:c>
      <x:c r="C45" s="168" t="str">
        <x:v>N/D</x:v>
      </x:c>
      <x:c r="D45" s="168" t="str">
        <x:v>N/D</x:v>
      </x:c>
      <x:c r="E45" s="168" t="str">
        <x:v>N/D</x:v>
      </x:c>
      <x:c r="F45" s="168" t="str">
        <x:v>N/D</x:v>
      </x:c>
      <x:c r="G45" s="168" t="str">
        <x:v>N/D</x:v>
      </x:c>
      <x:c r="H45" s="105" t="n">
        <x:v>139.3</x:v>
      </x:c>
      <x:c r="I45" s="7" t="str">
        <x:v>Client-funds related; excluded from corporate debt</x:v>
      </x:c>
      <x:c r="J45" s="6" t="str">
        <x:v>A01</x:v>
      </x:c>
      <x:c r="K45" s="4"/>
    </x:row>
    <x:row r="46" ht="23" customHeight="1">
      <x:c r="A46" s="4"/>
      <x:c r="B46" s="6" t="str">
        <x:v>Corporate long-term debt</x:v>
      </x:c>
      <x:c r="C46" s="168" t="str">
        <x:v>N/D</x:v>
      </x:c>
      <x:c r="D46" s="168" t="str">
        <x:v>N/D</x:v>
      </x:c>
      <x:c r="E46" s="168" t="str">
        <x:v>N/D</x:v>
      </x:c>
      <x:c r="F46" s="168" t="str">
        <x:v>N/D</x:v>
      </x:c>
      <x:c r="G46" s="168" t="str">
        <x:v>N/D</x:v>
      </x:c>
      <x:c r="H46" s="105" t="n">
        <x:v>4964.1</x:v>
      </x:c>
      <x:c r="I46" s="6" t="str">
        <x:v>Funded debt</x:v>
      </x:c>
      <x:c r="J46" s="6" t="str">
        <x:v>A01</x:v>
      </x:c>
      <x:c r="K46" s="4"/>
    </x:row>
    <x:row r="47" ht="28" customHeight="1">
      <x:c r="A47" s="4"/>
      <x:c r="B47" s="7" t="str">
        <x:v>Noncurrent operating lease liabilities</x:v>
      </x:c>
      <x:c r="C47" s="168" t="str">
        <x:v>N/D</x:v>
      </x:c>
      <x:c r="D47" s="168" t="str">
        <x:v>N/D</x:v>
      </x:c>
      <x:c r="E47" s="168" t="str">
        <x:v>N/D</x:v>
      </x:c>
      <x:c r="F47" s="168" t="str">
        <x:v>N/D</x:v>
      </x:c>
      <x:c r="G47" s="168" t="str">
        <x:v>N/D</x:v>
      </x:c>
      <x:c r="H47" s="105" t="n">
        <x:v>306.7</x:v>
      </x:c>
      <x:c r="I47" s="7" t="str">
        <x:v>Rent stays in costs. Lease debt excluded</x:v>
      </x:c>
      <x:c r="J47" s="6" t="str">
        <x:v>A01</x:v>
      </x:c>
      <x:c r="K47" s="4"/>
    </x:row>
    <x:row r="48" ht="28" customHeight="1">
      <x:c r="A48" s="4"/>
      <x:c r="B48" s="6" t="str">
        <x:v>Shares outstanding</x:v>
      </x:c>
      <x:c r="C48" s="168" t="str">
        <x:v>N/D</x:v>
      </x:c>
      <x:c r="D48" s="168" t="str">
        <x:v>N/D</x:v>
      </x:c>
      <x:c r="E48" s="168" t="str">
        <x:v>N/D</x:v>
      </x:c>
      <x:c r="F48" s="168" t="str">
        <x:v>N/D</x:v>
      </x:c>
      <x:c r="G48" s="168" t="str">
        <x:v>N/D</x:v>
      </x:c>
      <x:c r="H48" s="105" t="n">
        <x:v>397.8</x:v>
      </x:c>
      <x:c r="I48" s="7" t="str">
        <x:v>Period end; diluted shares used for valuation</x:v>
      </x:c>
      <x:c r="J48" s="6" t="str">
        <x:v>A01</x:v>
      </x:c>
      <x:c r="K48" s="4"/>
    </x:row>
    <x:row r="49" ht="28" customHeight="1">
      <x:c r="A49" s="4"/>
      <x:c r="B49" s="7" t="str">
        <x:v>PEO benefits pass-through revenue</x:v>
      </x:c>
      <x:c r="C49" s="168" t="str">
        <x:v>N/D</x:v>
      </x:c>
      <x:c r="D49" s="168" t="str">
        <x:v>N/D</x:v>
      </x:c>
      <x:c r="E49" s="168" t="str">
        <x:v>N/D</x:v>
      </x:c>
      <x:c r="F49" s="168" t="str">
        <x:v>N/D</x:v>
      </x:c>
      <x:c r="G49" s="105" t="n">
        <x:v>4289</x:v>
      </x:c>
      <x:c r="H49" s="105" t="n">
        <x:v>4607.3</x:v>
      </x:c>
      <x:c r="I49" s="6" t="str">
        <x:v>Reported / derived from release</x:v>
      </x:c>
      <x:c r="J49" s="6" t="str">
        <x:v>A01/A02</x:v>
      </x:c>
      <x:c r="K49" s="4"/>
    </x:row>
    <x:row r="50" ht="23" customHeight="1">
      <x:c r="A50" s="4"/>
      <x:c r="B50" s="6" t="str">
        <x:v>PEO revenue ex pass-through</x:v>
      </x:c>
      <x:c r="C50" s="168" t="str">
        <x:v>N/D</x:v>
      </x:c>
      <x:c r="D50" s="168" t="str">
        <x:v>N/D</x:v>
      </x:c>
      <x:c r="E50" s="168" t="str">
        <x:v>N/D</x:v>
      </x:c>
      <x:c r="F50" s="168" t="str">
        <x:v>N/D</x:v>
      </x:c>
      <x:c r="G50" s="105" t="n">
        <x:v>2390.6</x:v>
      </x:c>
      <x:c r="H50" s="105" t="n">
        <x:v>2508.5</x:v>
      </x:c>
      <x:c r="I50" s="6" t="str">
        <x:v>Derived</x:v>
      </x:c>
      <x:c r="J50" s="6" t="str">
        <x:v>A01/A02</x:v>
      </x:c>
      <x:c r="K50" s="4"/>
    </x:row>
    <x:row r="51" ht="23" customHeight="1">
      <x:c r="A51" s="4"/>
      <x:c r="B51" s="6" t="str">
        <x:v>Employer Services organic growth</x:v>
      </x:c>
      <x:c r="C51" s="168" t="str">
        <x:v>N/D</x:v>
      </x:c>
      <x:c r="D51" s="168" t="str">
        <x:v>N/D</x:v>
      </x:c>
      <x:c r="E51" s="168" t="str">
        <x:v>N/D</x:v>
      </x:c>
      <x:c r="F51" s="168" t="str">
        <x:v>N/D</x:v>
      </x:c>
      <x:c r="G51" s="168" t="str">
        <x:v>N/D</x:v>
      </x:c>
      <x:c r="H51" s="105" t="n">
        <x:v>0.05</x:v>
      </x:c>
      <x:c r="I51" s="6" t="str">
        <x:v>FY2026 organic constant-currency</x:v>
      </x:c>
      <x:c r="J51" s="6" t="str">
        <x:v>A01</x:v>
      </x:c>
      <x:c r="K51" s="4"/>
    </x:row>
    <x:row r="52" ht="23" customHeight="1">
      <x:c r="A52" s="4"/>
      <x:c r="B52" s="6" t="str">
        <x:v>New-business bookings</x:v>
      </x:c>
      <x:c r="C52" s="15" t="str">
        <x:v>N/D</x:v>
      </x:c>
      <x:c r="D52" s="15" t="str">
        <x:v>N/D</x:v>
      </x:c>
      <x:c r="E52" s="15" t="str">
        <x:v>N/D</x:v>
      </x:c>
      <x:c r="F52" s="15" t="str">
        <x:v>N/D</x:v>
      </x:c>
      <x:c r="G52" s="15" t="str">
        <x:v>N/D</x:v>
      </x:c>
      <x:c r="H52" s="109" t="n">
        <x:v>2200</x:v>
      </x:c>
      <x:c r="I52" s="6" t="str">
        <x:v>Approximately $2.2bn</x:v>
      </x:c>
      <x:c r="J52" s="6" t="str">
        <x:v>A01</x:v>
      </x:c>
      <x:c r="K52" s="4"/>
    </x:row>
    <x:row r="53" ht="23" customHeight="1">
      <x:c r="A53" s="4"/>
      <x:c r="B53" s="6" t="str">
        <x:v>Client revenue retention</x:v>
      </x:c>
      <x:c r="C53" s="15" t="str">
        <x:v>N/D</x:v>
      </x:c>
      <x:c r="D53" s="15" t="str">
        <x:v>N/D</x:v>
      </x:c>
      <x:c r="E53" s="15" t="str">
        <x:v>N/D</x:v>
      </x:c>
      <x:c r="F53" s="15" t="str">
        <x:v>N/D</x:v>
      </x:c>
      <x:c r="G53" s="15" t="str">
        <x:v>N/D</x:v>
      </x:c>
      <x:c r="H53" s="109" t="n">
        <x:v>0.921</x:v>
      </x:c>
      <x:c r="I53" s="6" t="str">
        <x:v>Reported</x:v>
      </x:c>
      <x:c r="J53" s="6" t="str">
        <x:v>A01</x:v>
      </x:c>
      <x:c r="K53" s="4"/>
    </x:row>
    <x:row r="54" ht="23" customHeight="1">
      <x:c r="A54" s="4"/>
      <x:c r="B54" s="6" t="str">
        <x:v>Pays per control growth</x:v>
      </x:c>
      <x:c r="C54" s="15" t="str">
        <x:v>N/D</x:v>
      </x:c>
      <x:c r="D54" s="15" t="str">
        <x:v>N/D</x:v>
      </x:c>
      <x:c r="E54" s="15" t="str">
        <x:v>N/D</x:v>
      </x:c>
      <x:c r="F54" s="15" t="str">
        <x:v>N/D</x:v>
      </x:c>
      <x:c r="G54" s="15" t="str">
        <x:v>N/D</x:v>
      </x:c>
      <x:c r="H54" s="109" t="n">
        <x:v>0.01</x:v>
      </x:c>
      <x:c r="I54" s="6" t="str">
        <x:v>Reported</x:v>
      </x:c>
      <x:c r="J54" s="6" t="str">
        <x:v>A01</x:v>
      </x:c>
      <x:c r="K54" s="4"/>
    </x:row>
    <x:row r="55" ht="28" customHeight="1">
      <x:c r="A55" s="4"/>
      <x:c r="B55" s="7" t="str">
        <x:v>Average PEO worksite employees (000s)</x:v>
      </x:c>
      <x:c r="C55" s="168" t="str">
        <x:v>N/D</x:v>
      </x:c>
      <x:c r="D55" s="168" t="str">
        <x:v>N/D</x:v>
      </x:c>
      <x:c r="E55" s="168" t="str">
        <x:v>N/D</x:v>
      </x:c>
      <x:c r="F55" s="168" t="str">
        <x:v>N/D</x:v>
      </x:c>
      <x:c r="G55" s="168" t="str">
        <x:v>N/D</x:v>
      </x:c>
      <x:c r="H55" s="105" t="n">
        <x:v>762</x:v>
      </x:c>
      <x:c r="I55" s="6" t="str">
        <x:v>Reported</x:v>
      </x:c>
      <x:c r="J55" s="6" t="str">
        <x:v>A01</x:v>
      </x:c>
      <x:c r="K55" s="4"/>
    </x:row>
    <x:row r="56" ht="23" customHeight="1">
      <x:c r="A56" s="4"/>
      <x:c r="B56" s="6" t="str">
        <x:v>Average client-funds balance</x:v>
      </x:c>
      <x:c r="C56" s="168" t="str">
        <x:v>N/D</x:v>
      </x:c>
      <x:c r="D56" s="168" t="str">
        <x:v>N/D</x:v>
      </x:c>
      <x:c r="E56" s="168" t="str">
        <x:v>N/D</x:v>
      </x:c>
      <x:c r="F56" s="168" t="str">
        <x:v>N/D</x:v>
      </x:c>
      <x:c r="G56" s="168" t="str">
        <x:v>N/D</x:v>
      </x:c>
      <x:c r="H56" s="105" t="n">
        <x:v>40400</x:v>
      </x:c>
      <x:c r="I56" s="6" t="str">
        <x:v>Reported, approximately $40.4bn</x:v>
      </x:c>
      <x:c r="J56" s="6" t="str">
        <x:v>A01</x:v>
      </x:c>
      <x:c r="K56" s="4"/>
    </x:row>
    <x:row r="57" ht="23" customHeight="1">
      <x:c r="A57" s="4"/>
      <x:c r="B57" s="6" t="str">
        <x:v>Average client-funds yield</x:v>
      </x:c>
      <x:c r="C57" s="15" t="str">
        <x:v>N/D</x:v>
      </x:c>
      <x:c r="D57" s="15" t="str">
        <x:v>N/D</x:v>
      </x:c>
      <x:c r="E57" s="15" t="str">
        <x:v>N/D</x:v>
      </x:c>
      <x:c r="F57" s="15" t="str">
        <x:v>N/D</x:v>
      </x:c>
      <x:c r="G57" s="15" t="str">
        <x:v>N/D</x:v>
      </x:c>
      <x:c r="H57" s="109" t="n">
        <x:v>0.034</x:v>
      </x:c>
      <x:c r="I57" s="6" t="str">
        <x:v>Reported rounded yield</x:v>
      </x:c>
      <x:c r="J57" s="6" t="str">
        <x:v>A01</x:v>
      </x:c>
      <x:c r="K57" s="4"/>
    </x:row>
    <x:row r="58" ht="23" customHeight="1">
      <x:c r="A58" s="4"/>
      <x:c r="B58" s="6" t="str">
        <x:v>Interest on client funds</x:v>
      </x:c>
      <x:c r="C58" s="168" t="str">
        <x:v>N/D</x:v>
      </x:c>
      <x:c r="D58" s="168" t="str">
        <x:v>N/D</x:v>
      </x:c>
      <x:c r="E58" s="168" t="str">
        <x:v>N/D</x:v>
      </x:c>
      <x:c r="F58" s="168" t="str">
        <x:v>N/D</x:v>
      </x:c>
      <x:c r="G58" s="105" t="n">
        <x:v>1189.1</x:v>
      </x:c>
      <x:c r="H58" s="105" t="n">
        <x:v>1354.8</x:v>
      </x:c>
      <x:c r="I58" s="6" t="str">
        <x:v>Reported</x:v>
      </x:c>
      <x:c r="J58" s="6" t="str">
        <x:v>A01/A03</x:v>
      </x:c>
      <x:c r="K58" s="4"/>
    </x:row>
    <x:row r="59" ht="23" customHeight="1">
      <x:c r="A59" s="4"/>
      <x:c r="B59" s="4"/>
      <x:c r="C59" s="4"/>
      <x:c r="D59" s="4"/>
      <x:c r="E59" s="4"/>
      <x:c r="F59" s="4"/>
      <x:c r="G59" s="4"/>
      <x:c r="H59" s="4"/>
      <x:c r="I59" s="4"/>
      <x:c r="J59" s="4"/>
      <x:c r="K59" s="4"/>
    </x:row>
    <x:row r="60" ht="23" customHeight="1">
      <x:c r="A60" s="4"/>
      <x:c r="B60" s="4"/>
      <x:c r="C60" s="4"/>
      <x:c r="D60" s="4"/>
      <x:c r="E60" s="4"/>
      <x:c r="F60" s="4"/>
      <x:c r="G60" s="4"/>
      <x:c r="H60" s="4"/>
      <x:c r="I60" s="4"/>
      <x:c r="J60" s="4"/>
      <x:c r="K60" s="4"/>
    </x:row>
    <x:row r="61" ht="23" customHeight="1">
      <x:c r="A61" s="4"/>
      <x:c r="B61" s="4"/>
      <x:c r="C61" s="4"/>
      <x:c r="D61" s="4"/>
      <x:c r="E61" s="4"/>
      <x:c r="F61" s="4"/>
      <x:c r="G61" s="4"/>
      <x:c r="H61" s="4"/>
      <x:c r="I61" s="4"/>
      <x:c r="J61" s="4"/>
      <x:c r="K61" s="4"/>
    </x:row>
  </x:sheetData>
  <x:pageMargins left="0.7" right="0.7" top="0.75" bottom="0.75" header="0.3" footer="0.3"/>
</x:worksheet>
</file>

<file path=xl/worksheets/sheet11.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31" customHeight="1">
      <x:c r="A1" s="6"/>
      <x:c r="B1" s="22" t="str">
        <x:v>ADP, Historical KPI Analysis</x:v>
      </x:c>
      <x:c r="C1" s="22"/>
      <x:c r="D1" s="22"/>
      <x:c r="E1" s="22"/>
      <x:c r="F1" s="22"/>
      <x:c r="G1" s="22"/>
      <x:c r="H1" s="22"/>
      <x:c r="I1" s="22"/>
      <x:c r="J1" s="22"/>
    </x:row>
    <x:row r="2" ht="34" customHeight="1">
      <x:c r="A2" s="7"/>
      <x:c r="B2" s="26" t="str">
        <x:v>Revenue growth, client-funds interest, margins, capital spending and shareholder payments</x:v>
      </x:c>
      <x:c r="C2" s="26"/>
      <x:c r="D2" s="26"/>
      <x:c r="E2" s="26"/>
      <x:c r="F2" s="26"/>
      <x:c r="G2" s="26"/>
      <x:c r="H2" s="26"/>
      <x:c r="I2" s="26"/>
      <x:c r="J2" s="26"/>
    </x:row>
    <x:row r="3" ht="23" customHeight="1">
      <x:c r="A3" s="4"/>
      <x:c r="B3" s="4"/>
      <x:c r="C3" s="4"/>
      <x:c r="D3" s="4"/>
      <x:c r="E3" s="4"/>
      <x:c r="F3" s="4"/>
      <x:c r="G3" s="4"/>
      <x:c r="H3" s="4"/>
      <x:c r="I3" s="4"/>
      <x:c r="J3" s="4"/>
    </x:row>
    <x:row r="4" ht="23" customHeight="1">
      <x:c r="A4" s="4"/>
      <x:c r="B4" s="6" t="str">
        <x:v>Trend Table</x:v>
      </x:c>
      <x:c r="C4" s="4"/>
      <x:c r="D4" s="4"/>
      <x:c r="E4" s="4"/>
      <x:c r="F4" s="4"/>
      <x:c r="G4" s="4"/>
      <x:c r="H4" s="4"/>
      <x:c r="I4" s="4"/>
      <x:c r="J4" s="6" t="str">
        <x:v>Interpretation</x:v>
      </x:c>
    </x:row>
    <x:row r="5" ht="34" customHeight="1">
      <x:c r="A5" s="4"/>
      <x:c r="B5" s="40" t="str">
        <x:v>Metric</x:v>
      </x:c>
      <x:c r="C5" s="40" t="str">
        <x:v>FY2021A</x:v>
      </x:c>
      <x:c r="D5" s="40" t="str">
        <x:v>FY2022A</x:v>
      </x:c>
      <x:c r="E5" s="40" t="str">
        <x:v>FY2023A</x:v>
      </x:c>
      <x:c r="F5" s="40" t="str">
        <x:v>FY2024A</x:v>
      </x:c>
      <x:c r="G5" s="40" t="str">
        <x:v>FY2025A</x:v>
      </x:c>
      <x:c r="H5" s="40" t="str">
        <x:v>FY2026A</x:v>
      </x:c>
      <x:c r="I5" s="42"/>
      <x:c r="J5" s="40" t="str">
        <x:v>Revenue comes from service fees, client-funds interest and PEO services, including benefit reimbursements. Payroll and HR revenue grew steadily. Client-funds interest nearly tripled from FY2021 to FY2026 as balances and yields rose. Operating margins increased. Cash flow remained strong after software spending was deducted. The forecast estimates client balances and yields separately, with lower yields after FY2028.</x:v>
      </x:c>
    </x:row>
    <x:row r="6" ht="23" customHeight="1">
      <x:c r="A6" s="4"/>
      <x:c r="B6" s="6" t="str">
        <x:v>Total revenue growth</x:v>
      </x:c>
      <x:c r="C6" s="15" t="str">
        <x:v>N/M</x:v>
      </x:c>
      <x:c r="D6" s="133" t="n">
        <x:f>'Historical'!D10</x:f>
        <x:v>0.0994908499606808</x:v>
      </x:c>
      <x:c r="E6" s="133" t="n">
        <x:f>'Historical'!E10</x:f>
        <x:v>0.09176096931198985</x:v>
      </x:c>
      <x:c r="F6" s="133" t="n">
        <x:f>'Historical'!F10</x:f>
        <x:v>0.06608853998956277</x:v>
      </x:c>
      <x:c r="G6" s="133" t="n">
        <x:f>'Historical'!G10</x:f>
        <x:v>0.07073521293991436</x:v>
      </x:c>
      <x:c r="H6" s="133" t="n">
        <x:f>'Historical'!H10</x:f>
        <x:v>0.06743381855852593</x:v>
      </x:c>
      <x:c r="I6" s="4"/>
      <x:c r="J6" s="4"/>
    </x:row>
    <x:row r="7" ht="23" customHeight="1">
      <x:c r="A7" s="4"/>
      <x:c r="B7" s="6" t="str">
        <x:v>Core HCM growth</x:v>
      </x:c>
      <x:c r="C7" s="15" t="str">
        <x:v>N/M</x:v>
      </x:c>
      <x:c r="D7" s="133" t="n">
        <x:f>'Historical'!D6/'Historical'!C6-1</x:f>
        <x:v>0.07538439489793824</x:v>
      </x:c>
      <x:c r="E7" s="133" t="n">
        <x:f>'Historical'!E6/'Historical'!D6-1</x:f>
        <x:v>0.06825321275583063</x:v>
      </x:c>
      <x:c r="F7" s="133" t="n">
        <x:f>'Historical'!F6/'Historical'!E6-1</x:f>
        <x:v>0.06519337016574589</x:v>
      </x:c>
      <x:c r="G7" s="133" t="n">
        <x:f>'Historical'!G6/'Historical'!F6-1</x:f>
        <x:v>0.06178891714629908</x:v>
      </x:c>
      <x:c r="H7" s="133" t="n">
        <x:f>'Historical'!H6/'Historical'!G6-1</x:f>
        <x:v>0.0618174942090417</x:v>
      </x:c>
      <x:c r="I7" s="4"/>
      <x:c r="J7" s="4"/>
    </x:row>
    <x:row r="8" ht="23" customHeight="1">
      <x:c r="A8" s="4"/>
      <x:c r="B8" s="6" t="str">
        <x:v>Client-funds interest growth</x:v>
      </x:c>
      <x:c r="C8" s="15" t="str">
        <x:v>N/M</x:v>
      </x:c>
      <x:c r="D8" s="133" t="n">
        <x:f>'Historical'!D7/'Historical'!C7-1</x:f>
        <x:v>0.06960227272727271</x:v>
      </x:c>
      <x:c r="E8" s="133" t="n">
        <x:f>'Historical'!E7/'Historical'!D7-1</x:f>
        <x:v>0.8003541389995572</x:v>
      </x:c>
      <x:c r="F8" s="133" t="n">
        <x:f>'Historical'!F7/'Historical'!E7-1</x:f>
        <x:v>0.25977378903368575</x:v>
      </x:c>
      <x:c r="G8" s="133" t="n">
        <x:f>'Historical'!G7/'Historical'!F7-1</x:f>
        <x:v>0.16043720113203852</x:v>
      </x:c>
      <x:c r="H8" s="133" t="n">
        <x:f>'Historical'!H7/'Historical'!G7-1</x:f>
        <x:v>0.13934908754520237</x:v>
      </x:c>
      <x:c r="I8" s="4"/>
      <x:c r="J8" s="4"/>
    </x:row>
    <x:row r="9" ht="23" customHeight="1">
      <x:c r="A9" s="4"/>
      <x:c r="B9" s="6" t="str">
        <x:v>PEO revenue growth</x:v>
      </x:c>
      <x:c r="C9" s="15" t="str">
        <x:v>N/M</x:v>
      </x:c>
      <x:c r="D9" s="133" t="n">
        <x:f>'Historical'!D8/'Historical'!C8-1</x:f>
        <x:v>0.15102608840146248</x:v>
      </x:c>
      <x:c r="E9" s="133" t="n">
        <x:f>'Historical'!E8/'Historical'!D8-1</x:f>
        <x:v>0.07855273842822341</x:v>
      </x:c>
      <x:c r="F9" s="133" t="n">
        <x:f>'Historical'!F8/'Historical'!E8-1</x:f>
        <x:v>0.0414101191272922</x:v>
      </x:c>
      <x:c r="G9" s="133" t="n">
        <x:f>'Historical'!G8/'Historical'!F8-1</x:f>
        <x:v>0.07314878781549727</x:v>
      </x:c>
      <x:c r="H9" s="133" t="n">
        <x:f>'Historical'!H8/'Historical'!G8-1</x:f>
        <x:v>0.06530331157554348</x:v>
      </x:c>
      <x:c r="I9" s="4"/>
      <x:c r="J9" s="4"/>
    </x:row>
    <x:row r="10" ht="23" customHeight="1">
      <x:c r="A10" s="4"/>
      <x:c r="B10" s="6" t="str">
        <x:v>Client-funds interest / revenue</x:v>
      </x:c>
      <x:c r="C10" s="133" t="n">
        <x:f>'Historical'!C7/'Historical'!C9</x:f>
        <x:v>0.02814986604822264</x:v>
      </x:c>
      <x:c r="D10" s="133" t="n">
        <x:f>'Historical'!D7/'Historical'!D9</x:f>
        <x:v>0.02738463962953759</x:v>
      </x:c>
      <x:c r="E10" s="133" t="n">
        <x:f>'Historical'!E7/'Historical'!E9</x:f>
        <x:v>0.04515828160913159</x:v>
      </x:c>
      <x:c r="F10" s="133" t="n">
        <x:f>'Historical'!F7/'Historical'!F9</x:f>
        <x:v>0.053362565485923774</x:v>
      </x:c>
      <x:c r="G10" s="133" t="n">
        <x:f>'Historical'!G7/'Historical'!G9</x:f>
        <x:v>0.057833071509515624</x:v>
      </x:c>
      <x:c r="H10" s="133" t="n">
        <x:f>'Historical'!H7/'Historical'!H9</x:f>
        <x:v>0.061729407583586214</x:v>
      </x:c>
      <x:c r="I10" s="4"/>
      <x:c r="J10" s="4"/>
    </x:row>
    <x:row r="11" ht="23" customHeight="1">
      <x:c r="A11" s="4"/>
      <x:c r="B11" s="6" t="str">
        <x:v>Operating margin</x:v>
      </x:c>
      <x:c r="C11" s="133" t="n">
        <x:f>'Historical'!C17</x:f>
        <x:v>0.2215602383142069</x:v>
      </x:c>
      <x:c r="D11" s="133" t="n">
        <x:f>'Historical'!D17</x:f>
        <x:v>0.23052072031663867</x:v>
      </x:c>
      <x:c r="E11" s="133" t="n">
        <x:f>'Historical'!E17</x:f>
        <x:v>0.25024150298131276</x:v>
      </x:c>
      <x:c r="F11" s="133" t="n">
        <x:f>'Historical'!F17</x:f>
        <x:v>0.25762136377365574</x:v>
      </x:c>
      <x:c r="G11" s="133" t="n">
        <x:f>'Historical'!G17</x:f>
        <x:v>0.2632131861932115</x:v>
      </x:c>
      <x:c r="H11" s="133" t="n">
        <x:f>'Historical'!H17</x:f>
        <x:v>0.2633113717342372</x:v>
      </x:c>
      <x:c r="I11" s="4"/>
      <x:c r="J11" s="4"/>
    </x:row>
    <x:row r="12" ht="23" customHeight="1">
      <x:c r="A12" s="4"/>
      <x:c r="B12" s="6" t="str">
        <x:v>Effective tax rate</x:v>
      </x:c>
      <x:c r="C12" s="133" t="n">
        <x:f>'Historical'!C22</x:f>
        <x:v>0.22691300725931213</x:v>
      </x:c>
      <x:c r="D12" s="133" t="n">
        <x:f>'Historical'!D22</x:f>
        <x:v>0.22481007334192057</x:v>
      </x:c>
      <x:c r="E12" s="133" t="n">
        <x:f>'Historical'!E22</x:f>
        <x:v>0.23111591851451227</x:v>
      </x:c>
      <x:c r="F12" s="133" t="n">
        <x:f>'Historical'!F22</x:f>
        <x:v>0.22993247542228507</x:v>
      </x:c>
      <x:c r="G12" s="133" t="n">
        <x:f>'Historical'!G22</x:f>
        <x:v>0.2317093840040676</x:v>
      </x:c>
      <x:c r="H12" s="133" t="n">
        <x:f>'Historical'!H22</x:f>
        <x:v>0.22979599671919454</x:v>
      </x:c>
      <x:c r="I12" s="4"/>
      <x:c r="J12" s="4"/>
    </x:row>
    <x:row r="13" ht="23" customHeight="1">
      <x:c r="A13" s="4"/>
      <x:c r="B13" s="6" t="str">
        <x:v>FCF margin</x:v>
      </x:c>
      <x:c r="C13" s="133" t="n">
        <x:f>'Historical'!C33</x:f>
        <x:v>0.1724312580804244</x:v>
      </x:c>
      <x:c r="D13" s="133" t="n">
        <x:f>'Historical'!D33</x:f>
        <x:v>0.15432499105968495</x:v>
      </x:c>
      <x:c r="E13" s="133" t="n">
        <x:f>'Historical'!E33</x:f>
        <x:v>0.20186318162134556</x:v>
      </x:c>
      <x:c r="F13" s="133" t="n">
        <x:f>'Historical'!F33</x:f>
        <x:v>0.18717257038109422</x:v>
      </x:c>
      <x:c r="G13" s="133" t="n">
        <x:f>'Historical'!G33</x:f>
        <x:v>0.2136433716422919</x:v>
      </x:c>
      <x:c r="H13" s="133" t="n">
        <x:f>'Historical'!H33</x:f>
        <x:v>0.21761575403009012</x:v>
      </x:c>
      <x:c r="I13" s="4"/>
      <x:c r="J13" s="4"/>
    </x:row>
    <x:row r="14" ht="23" customHeight="1">
      <x:c r="A14" s="4"/>
      <x:c r="B14" s="6" t="str">
        <x:v>Total capex / revenue</x:v>
      </x:c>
      <x:c r="C14" s="133" t="n">
        <x:f>'Historical'!C31/'Historical'!C9</x:f>
        <x:v>0.03371452943606968</x:v>
      </x:c>
      <x:c r="D14" s="133" t="n">
        <x:f>'Historical'!D31/'Historical'!D9</x:f>
        <x:v>0.033542849869380484</x:v>
      </x:c>
      <x:c r="E14" s="133" t="n">
        <x:f>'Historical'!E31/'Historical'!E9</x:f>
        <x:v>0.03173404692375168</x:v>
      </x:c>
      <x:c r="F14" s="133" t="n">
        <x:f>'Historical'!F31/'Historical'!F9</x:f>
        <x:v>0.029339776905210748</x:v>
      </x:c>
      <x:c r="G14" s="133" t="n">
        <x:f>'Historical'!G31/'Historical'!G9</x:f>
        <x:v>0.02660389379842322</x:v>
      </x:c>
      <x:c r="H14" s="133" t="n">
        <x:f>'Historical'!H31/'Historical'!H9</x:f>
        <x:v>0.03030427294349217</x:v>
      </x:c>
      <x:c r="I14" s="4"/>
      <x:c r="J14" s="4"/>
    </x:row>
    <x:row r="15" ht="23" customHeight="1">
      <x:c r="A15" s="4"/>
      <x:c r="B15" s="6" t="str">
        <x:v>FCF conversion / net earnings</x:v>
      </x:c>
      <x:c r="C15" s="133" t="n">
        <x:f>'Historical'!C32/'Historical'!C23</x:f>
        <x:v>0.9957283047912258</x:v>
      </x:c>
      <x:c r="D15" s="133" t="n">
        <x:f>'Historical'!D32/'Historical'!D23</x:f>
        <x:v>0.8634066940214995</x:v>
      </x:c>
      <x:c r="E15" s="133" t="n">
        <x:f>'Historical'!E32/'Historical'!E23</x:f>
        <x:v>1.0656506447831184</x:v>
      </x:c>
      <x:c r="F15" s="133" t="n">
        <x:f>'Historical'!F32/'Historical'!F23</x:f>
        <x:v>0.9579424307036248</x:v>
      </x:c>
      <x:c r="G15" s="133" t="n">
        <x:f>'Historical'!G32/'Historical'!G23</x:f>
        <x:v>1.0767213275485943</x:v>
      </x:c>
      <x:c r="H15" s="133" t="n">
        <x:f>'Historical'!H32/'Historical'!H23</x:f>
        <x:v>1.0821570182394924</x:v>
      </x:c>
      <x:c r="I15" s="4"/>
      <x:c r="J15" s="6" t="str">
        <x:v>What to Check</x:v>
      </x:c>
    </x:row>
    <x:row r="16" ht="80" customHeight="1">
      <x:c r="A16" s="4"/>
      <x:c r="B16" s="6" t="str">
        <x:v>Repurchases / FCF</x:v>
      </x:c>
      <x:c r="C16" s="133" t="n">
        <x:f>'Historical'!C35/'Historical'!C32</x:f>
        <x:v>0.5303779856226327</x:v>
      </x:c>
      <x:c r="D16" s="133" t="n">
        <x:f>'Historical'!D35/'Historical'!D32</x:f>
        <x:v>0.7734967204744512</x:v>
      </x:c>
      <x:c r="E16" s="133" t="n">
        <x:f>'Historical'!E35/'Historical'!E32</x:f>
        <x:v>0.3084158415841584</x:v>
      </x:c>
      <x:c r="F16" s="133" t="n">
        <x:f>'Historical'!F35/'Historical'!F32</x:f>
        <x:v>0.342691002170163</x:v>
      </x:c>
      <x:c r="G16" s="133" t="n">
        <x:f>'Historical'!G35/'Historical'!G32</x:f>
        <x:v>0.2915063628292394</x:v>
      </x:c>
      <x:c r="H16" s="133" t="n">
        <x:f>'Historical'!H35/'Historical'!H32</x:f>
        <x:v>0.4361927095328826</x:v>
      </x:c>
      <x:c r="I16" s="4"/>
      <x:c r="J16" s="7" t="str">
        <x:v>Check whether revenue retention stays above 92%, new business becomes recurring revenue, and client-funds yields follow market rates. Watch PEO employee growth, benefit costs and service quality. Judge buybacks after accounting for stock compensation and the price paid.</x:v>
      </x:c>
    </x:row>
    <x:row r="17" ht="23" customHeight="1">
      <x:c r="A17" s="4"/>
      <x:c r="B17" s="6" t="str">
        <x:v>Dividends / FCF</x:v>
      </x:c>
      <x:c r="C17" s="133" t="n">
        <x:f>'Historical'!C36/'Historical'!C32</x:f>
        <x:v>0.6089124217361057</x:v>
      </x:c>
      <x:c r="D17" s="133" t="n">
        <x:f>'Historical'!D36/'Historical'!D32</x:f>
        <x:v>0.6515847767173324</x:v>
      </x:c>
      <x:c r="E17" s="133" t="n">
        <x:f>'Historical'!E36/'Historical'!E32</x:f>
        <x:v>0.5235423542354235</x:v>
      </x:c>
      <x:c r="F17" s="133" t="n">
        <x:f>'Historical'!F36/'Historical'!F32</x:f>
        <x:v>0.6073952478993934</x:v>
      </x:c>
      <x:c r="G17" s="133" t="n">
        <x:f>'Historical'!G36/'Historical'!G32</x:f>
        <x:v>0.5461105925740434</x:v>
      </x:c>
      <x:c r="H17" s="133" t="n">
        <x:f>'Historical'!H36/'Historical'!H32</x:f>
        <x:v>0.549883796402923</x:v>
      </x:c>
      <x:c r="I17" s="4"/>
      <x:c r="J17" s="4"/>
    </x:row>
    <x:row r="18" ht="23" customHeight="1">
      <x:c r="A18" s="4"/>
      <x:c r="B18" s="6" t="str">
        <x:v>Diluted share change</x:v>
      </x:c>
      <x:c r="C18" s="15" t="str">
        <x:v>N/M</x:v>
      </x:c>
      <x:c r="D18" s="133" t="n">
        <x:f>'Historical'!D24/'Historical'!C24-1</x:f>
        <x:v>-0.016351319785096963</x:v>
      </x:c>
      <x:c r="E18" s="133" t="n">
        <x:f>'Historical'!E24/'Historical'!D24-1</x:f>
        <x:v>-0.012823557349798231</x:v>
      </x:c>
      <x:c r="F18" s="133" t="n">
        <x:f>'Historical'!F24/'Historical'!E24-1</x:f>
        <x:v>-0.008419533317296168</x:v>
      </x:c>
      <x:c r="G18" s="133" t="n">
        <x:f>'Historical'!G24/'Historical'!F24-1</x:f>
        <x:v>-0.008491023774866546</x:v>
      </x:c>
      <x:c r="H18" s="133" t="n">
        <x:f>'Historical'!H24/'Historical'!G24-1</x:f>
        <x:v>-0.013212625397602151</x:v>
      </x:c>
      <x:c r="I18" s="4"/>
      <x:c r="J18" s="4"/>
    </x:row>
    <x:row r="19" ht="23" customHeight="1">
      <x:c r="A19" s="4"/>
      <x:c r="B19" s="6" t="str">
        <x:v>PEO pass-through / PEO revenue</x:v>
      </x:c>
      <x:c r="C19" s="15" t="str">
        <x:v>N/D</x:v>
      </x:c>
      <x:c r="D19" s="15" t="str">
        <x:v>N/D</x:v>
      </x:c>
      <x:c r="E19" s="15" t="str">
        <x:v>N/D</x:v>
      </x:c>
      <x:c r="F19" s="15" t="str">
        <x:v>N/D</x:v>
      </x:c>
      <x:c r="G19" s="133" t="n">
        <x:f>'Historical'!G49/'Historical'!G8</x:f>
        <x:v>0.6421043176238098</x:v>
      </x:c>
      <x:c r="H19" s="133" t="n">
        <x:f>'Historical'!H49/'Historical'!H8</x:f>
        <x:v>0.6474746339132634</x:v>
      </x:c>
      <x:c r="I19" s="4"/>
      <x:c r="J19" s="4"/>
    </x:row>
    <x:row r="20" ht="28" customHeight="1">
      <x:c r="A20" s="4"/>
      <x:c r="B20" s="7" t="str">
        <x:v>Corporate revenue ex pass-through growth</x:v>
      </x:c>
      <x:c r="C20" s="15" t="str">
        <x:v>N/D</x:v>
      </x:c>
      <x:c r="D20" s="15" t="str">
        <x:v>N/D</x:v>
      </x:c>
      <x:c r="E20" s="15" t="str">
        <x:v>N/D</x:v>
      </x:c>
      <x:c r="F20" s="15" t="str">
        <x:v>N/D</x:v>
      </x:c>
      <x:c r="G20" s="15" t="str">
        <x:v>N/D</x:v>
      </x:c>
      <x:c r="H20" s="133" t="n">
        <x:f>('Historical'!H6+'Historical'!H7+'Historical'!H50)/('Historical'!G6+'Historical'!G7+'Historical'!G50)-1</x:f>
        <x:v>0.06564691277601242</x:v>
      </x:c>
      <x:c r="I20" s="4"/>
      <x:c r="J20" s="4"/>
    </x:row>
    <x:row r="21" ht="23" customHeight="1">
      <x:c r="A21" s="4"/>
      <x:c r="B21" s="4"/>
      <x:c r="C21" s="4"/>
      <x:c r="D21" s="4"/>
      <x:c r="E21" s="4"/>
      <x:c r="F21" s="4"/>
      <x:c r="G21" s="4"/>
      <x:c r="H21" s="4"/>
      <x:c r="I21" s="4"/>
      <x:c r="J21" s="4"/>
    </x:row>
    <x:row r="22" ht="23" customHeight="1">
      <x:c r="A22" s="4"/>
      <x:c r="B22" s="4"/>
      <x:c r="C22" s="4"/>
      <x:c r="D22" s="4"/>
      <x:c r="E22" s="4"/>
      <x:c r="F22" s="4"/>
      <x:c r="G22" s="4"/>
      <x:c r="H22" s="4"/>
      <x:c r="I22" s="4"/>
      <x:c r="J22" s="4"/>
    </x:row>
    <x:row r="23" ht="23" customHeight="1">
      <x:c r="A23" s="4"/>
      <x:c r="B23" s="4"/>
      <x:c r="C23" s="4"/>
      <x:c r="D23" s="4"/>
      <x:c r="E23" s="4"/>
      <x:c r="F23" s="4"/>
      <x:c r="G23" s="4"/>
      <x:c r="H23" s="4"/>
      <x:c r="I23" s="4"/>
      <x:c r="J23" s="4"/>
    </x:row>
    <x:row r="24" ht="23" customHeight="1">
      <x:c r="A24" s="4"/>
      <x:c r="B24" s="4"/>
      <x:c r="C24" s="4"/>
      <x:c r="D24" s="4"/>
      <x:c r="E24" s="4"/>
      <x:c r="F24" s="4"/>
      <x:c r="G24" s="4"/>
      <x:c r="H24" s="4"/>
      <x:c r="I24" s="4"/>
      <x:c r="J24" s="4"/>
    </x:row>
    <x:row r="25" ht="23" customHeight="1">
      <x:c r="A25" s="4"/>
      <x:c r="B25" s="4"/>
      <x:c r="C25" s="4"/>
      <x:c r="D25" s="4"/>
      <x:c r="E25" s="4"/>
      <x:c r="F25" s="4"/>
      <x:c r="G25" s="4"/>
      <x:c r="H25" s="4"/>
      <x:c r="I25" s="4"/>
      <x:c r="J25" s="4"/>
    </x:row>
    <x:row r="26" ht="23" customHeight="1">
      <x:c r="A26" s="4"/>
      <x:c r="B26" s="4"/>
      <x:c r="C26" s="4"/>
      <x:c r="D26" s="4"/>
      <x:c r="E26" s="4"/>
      <x:c r="F26" s="4"/>
      <x:c r="G26" s="4"/>
      <x:c r="H26" s="4"/>
      <x:c r="I26" s="4"/>
      <x:c r="J26" s="4"/>
    </x:row>
    <x:row r="27" ht="23" customHeight="1">
      <x:c r="A27" s="4"/>
      <x:c r="B27" s="4"/>
      <x:c r="C27" s="4"/>
      <x:c r="D27" s="4"/>
      <x:c r="E27" s="4"/>
      <x:c r="F27" s="4"/>
      <x:c r="G27" s="4"/>
      <x:c r="H27" s="4"/>
      <x:c r="I27" s="4"/>
      <x:c r="J27" s="4"/>
    </x:row>
    <x:row r="28" ht="23" customHeight="1">
      <x:c r="A28" s="4"/>
      <x:c r="B28" s="4"/>
      <x:c r="C28" s="4"/>
      <x:c r="D28" s="4"/>
      <x:c r="E28" s="4"/>
      <x:c r="F28" s="4"/>
      <x:c r="G28" s="4"/>
      <x:c r="H28" s="4"/>
      <x:c r="I28" s="4"/>
      <x:c r="J28" s="4"/>
    </x:row>
    <x:row r="29" ht="23" customHeight="1">
      <x:c r="A29" s="4"/>
      <x:c r="B29" s="4"/>
      <x:c r="C29" s="4"/>
      <x:c r="D29" s="4"/>
      <x:c r="E29" s="4"/>
      <x:c r="F29" s="4"/>
      <x:c r="G29" s="4"/>
      <x:c r="H29" s="4"/>
      <x:c r="I29" s="4"/>
      <x:c r="J29" s="4"/>
    </x:row>
    <x:row r="30" ht="23" customHeight="1">
      <x:c r="A30" s="4"/>
      <x:c r="B30" s="4"/>
      <x:c r="C30" s="4"/>
      <x:c r="D30" s="4"/>
      <x:c r="E30" s="4"/>
      <x:c r="F30" s="4"/>
      <x:c r="G30" s="4"/>
      <x:c r="H30" s="4"/>
      <x:c r="I30" s="4"/>
      <x:c r="J30" s="4"/>
    </x:row>
  </x:sheetData>
  <x:pageMargins left="0.7" right="0.7" top="0.75" bottom="0.75" header="0.3" footer="0.3"/>
</x:worksheet>
</file>

<file path=xl/worksheets/sheet12.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31" customHeight="1">
      <x:c r="A1" s="6"/>
      <x:c r="B1" s="22" t="str">
        <x:v>ADP, Comparable Companies</x:v>
      </x:c>
      <x:c r="C1" s="22"/>
      <x:c r="D1" s="22"/>
      <x:c r="E1" s="22"/>
      <x:c r="F1" s="22"/>
      <x:c r="G1" s="22"/>
      <x:c r="H1" s="22"/>
      <x:c r="I1" s="22"/>
      <x:c r="J1" s="22"/>
      <x:c r="K1" s="22"/>
      <x:c r="L1" s="22"/>
      <x:c r="M1" s="22"/>
      <x:c r="N1" s="22"/>
      <x:c r="O1" s="22"/>
      <x:c r="P1" s="22"/>
    </x:row>
    <x:row r="2" ht="34" customHeight="1">
      <x:c r="A2" s="7"/>
      <x:c r="B2" s="26" t="str">
        <x:v>Operating peer context. N/V marks trading inputs not verified at the 5 August 2026 cutoff.</x:v>
      </x:c>
      <x:c r="C2" s="26"/>
      <x:c r="D2" s="26"/>
      <x:c r="E2" s="26"/>
      <x:c r="F2" s="26"/>
      <x:c r="G2" s="26"/>
      <x:c r="H2" s="26"/>
      <x:c r="I2" s="26"/>
      <x:c r="J2" s="26"/>
      <x:c r="K2" s="26"/>
      <x:c r="L2" s="26"/>
      <x:c r="M2" s="26"/>
      <x:c r="N2" s="26"/>
      <x:c r="O2" s="26"/>
      <x:c r="P2" s="26"/>
    </x:row>
    <x:row r="3" ht="23" customHeight="1">
      <x:c r="A3" s="4"/>
      <x:c r="B3" s="4"/>
      <x:c r="C3" s="4"/>
      <x:c r="D3" s="4"/>
      <x:c r="E3" s="4"/>
      <x:c r="F3" s="4"/>
      <x:c r="G3" s="4"/>
      <x:c r="H3" s="4"/>
      <x:c r="I3" s="4"/>
      <x:c r="J3" s="4"/>
      <x:c r="K3" s="4"/>
      <x:c r="L3" s="4"/>
      <x:c r="M3" s="4"/>
      <x:c r="N3" s="4"/>
      <x:c r="O3" s="4"/>
      <x:c r="P3" s="4"/>
    </x:row>
    <x:row r="4" ht="28" customHeight="1">
      <x:c r="A4" s="4"/>
      <x:c r="B4" s="7" t="str">
        <x:v>Payroll, HCM, and Recurring Business-Services Peers</x:v>
      </x:c>
      <x:c r="C4" s="4"/>
      <x:c r="D4" s="4"/>
      <x:c r="E4" s="4"/>
      <x:c r="F4" s="4"/>
      <x:c r="G4" s="4"/>
      <x:c r="H4" s="4"/>
      <x:c r="I4" s="4"/>
      <x:c r="J4" s="4"/>
      <x:c r="K4" s="4"/>
      <x:c r="L4" s="4"/>
      <x:c r="M4" s="4"/>
      <x:c r="N4" s="4"/>
      <x:c r="O4" s="4"/>
      <x:c r="P4" s="4"/>
    </x:row>
    <x:row r="5" ht="34" customHeight="1">
      <x:c r="A5" s="4"/>
      <x:c r="B5" s="40" t="str">
        <x:v>Company</x:v>
      </x:c>
      <x:c r="C5" s="40" t="str">
        <x:v>Ticker</x:v>
      </x:c>
      <x:c r="D5" s="40" t="str">
        <x:v>Price</x:v>
      </x:c>
      <x:c r="E5" s="40" t="str">
        <x:v>Market cap</x:v>
      </x:c>
      <x:c r="F5" s="40" t="str">
        <x:v>Enterprise value</x:v>
      </x:c>
      <x:c r="G5" s="40" t="str">
        <x:v>Revenue</x:v>
      </x:c>
      <x:c r="H5" s="40" t="str">
        <x:v>Revenue growth</x:v>
      </x:c>
      <x:c r="I5" s="40" t="str">
        <x:v>Op. margin</x:v>
      </x:c>
      <x:c r="J5" s="40" t="str">
        <x:v>EBITDA margin</x:v>
      </x:c>
      <x:c r="K5" s="40" t="str">
        <x:v>FCF margin</x:v>
      </x:c>
      <x:c r="L5" s="40" t="str">
        <x:v>EV / Revenue</x:v>
      </x:c>
      <x:c r="M5" s="40" t="str">
        <x:v>EV / EBITDA</x:v>
      </x:c>
      <x:c r="N5" s="40" t="str">
        <x:v>P / E</x:v>
      </x:c>
      <x:c r="O5" s="40" t="str">
        <x:v>Net debt / EBITDA</x:v>
      </x:c>
      <x:c r="P5" s="40" t="str">
        <x:v>Fit and limitation</x:v>
      </x:c>
    </x:row>
    <x:row r="6" ht="48" customHeight="1">
      <x:c r="A6" s="4"/>
      <x:c r="B6" s="6" t="str">
        <x:v>Automatic Data Processing</x:v>
      </x:c>
      <x:c r="C6" s="6" t="str">
        <x:v>ADP</x:v>
      </x:c>
      <x:c r="D6" s="140" t="n">
        <x:f>'Assumptions'!C6</x:f>
        <x:v>270.09</x:v>
      </x:c>
      <x:c r="E6" s="101" t="n">
        <x:f>'WACC'!C12</x:f>
        <x:v>107441.802</x:v>
      </x:c>
      <x:c r="F6" s="101" t="n">
        <x:f>E6+'Assumptions'!C11-'Assumptions'!C8</x:f>
        <x:v>108175.802</x:v>
      </x:c>
      <x:c r="G6" s="101" t="n">
        <x:f>'Historical'!H9</x:f>
        <x:v>21947.399999999998</x:v>
      </x:c>
      <x:c r="H6" s="133" t="n">
        <x:f>'Historical'!H10</x:f>
        <x:v>0.06743381855852593</x:v>
      </x:c>
      <x:c r="I6" s="133" t="n">
        <x:f>'Historical'!H17</x:f>
        <x:v>0.2633113717342372</x:v>
      </x:c>
      <x:c r="J6" s="133" t="n">
        <x:f>('Historical'!H16+'Historical'!H27)/G6</x:f>
        <x:v>0.29000701677647456</x:v>
      </x:c>
      <x:c r="K6" s="133" t="n">
        <x:f>'Historical'!H33</x:f>
        <x:v>0.21761575403009012</x:v>
      </x:c>
      <x:c r="L6" s="170" t="n">
        <x:f>F6/G6</x:f>
        <x:v>4.92886638052799</x:v>
      </x:c>
      <x:c r="M6" s="170" t="n">
        <x:f>F6/(G6*J6)</x:f>
        <x:v>16.99567974359378</x:v>
      </x:c>
      <x:c r="N6" s="142" t="n">
        <x:f>D6/'Historical'!H25</x:f>
        <x:v>24.680479664665228</x:v>
      </x:c>
      <x:c r="O6" s="142" t="n">
        <x:f>('Assumptions'!C11-'Assumptions'!C8)/(G6*J6)</x:f>
        <x:v>0.11531995789407537</x:v>
      </x:c>
      <x:c r="P6" s="7" t="str">
        <x:v>FY2026 EBIT plus cash-flow D&amp;A; stock compensation stays in costs. EV deducts all corporate cash. The DCF holds back the cash reserve.</x:v>
      </x:c>
    </x:row>
    <x:row r="7" ht="28" customHeight="1">
      <x:c r="A7" s="4"/>
      <x:c r="B7" s="6" t="str">
        <x:v>Paychex</x:v>
      </x:c>
      <x:c r="C7" s="6" t="str">
        <x:v>PAYX</x:v>
      </x:c>
      <x:c r="D7" s="10" t="str">
        <x:v>N/V</x:v>
      </x:c>
      <x:c r="E7" s="168" t="str">
        <x:v>N/V</x:v>
      </x:c>
      <x:c r="F7" s="168" t="str">
        <x:v>N/V</x:v>
      </x:c>
      <x:c r="G7" s="105" t="n">
        <x:v>6512</x:v>
      </x:c>
      <x:c r="H7" s="15" t="str">
        <x:v>N/D</x:v>
      </x:c>
      <x:c r="I7" s="109" t="n">
        <x:v>0.386</x:v>
      </x:c>
      <x:c r="J7" s="15" t="str">
        <x:v>N/D</x:v>
      </x:c>
      <x:c r="K7" s="15" t="str">
        <x:v>N/D</x:v>
      </x:c>
      <x:c r="L7" s="170" t="str">
        <x:f>IFERROR(F7/G7,"N/V")</x:f>
        <x:v>N/V</x:v>
      </x:c>
      <x:c r="M7" s="171" t="str">
        <x:v>N/V</x:v>
      </x:c>
      <x:c r="N7" s="171" t="str">
        <x:v>N/V</x:v>
      </x:c>
      <x:c r="O7" s="171" t="str">
        <x:v>N/D</x:v>
      </x:c>
      <x:c r="P7" s="7" t="str">
        <x:v>SMB payroll/HCM and insurance; different float and client mix</x:v>
      </x:c>
    </x:row>
    <x:row r="8" ht="28" customHeight="1">
      <x:c r="A8" s="4"/>
      <x:c r="B8" s="6" t="str">
        <x:v>Paycom Software</x:v>
      </x:c>
      <x:c r="C8" s="6" t="str">
        <x:v>PAYC</x:v>
      </x:c>
      <x:c r="D8" s="10" t="str">
        <x:v>N/V</x:v>
      </x:c>
      <x:c r="E8" s="168" t="str">
        <x:v>N/V</x:v>
      </x:c>
      <x:c r="F8" s="168" t="str">
        <x:v>N/V</x:v>
      </x:c>
      <x:c r="G8" s="105" t="n">
        <x:v>2051.7</x:v>
      </x:c>
      <x:c r="H8" s="109" t="n">
        <x:v>0.09</x:v>
      </x:c>
      <x:c r="I8" s="15" t="str">
        <x:v>N/D</x:v>
      </x:c>
      <x:c r="J8" s="109" t="n">
        <x:v>0.43</x:v>
      </x:c>
      <x:c r="K8" s="15" t="str">
        <x:v>N/D</x:v>
      </x:c>
      <x:c r="L8" s="170" t="str">
        <x:f>IFERROR(F8/G8,"N/V")</x:f>
        <x:v>N/V</x:v>
      </x:c>
      <x:c r="M8" s="170" t="str">
        <x:f>IFERROR(F8/(G8*J8),"N/V")</x:f>
        <x:v>N/V</x:v>
      </x:c>
      <x:c r="N8" s="171" t="str">
        <x:v>N/V</x:v>
      </x:c>
      <x:c r="O8" s="115" t="n">
        <x:v>-0.42</x:v>
      </x:c>
      <x:c r="P8" s="7" t="str">
        <x:v>Payroll and HR software. Much less PEO revenue and client-funds interest</x:v>
      </x:c>
    </x:row>
    <x:row r="9" ht="28" customHeight="1">
      <x:c r="A9" s="4"/>
      <x:c r="B9" s="6" t="str">
        <x:v>Paylocity</x:v>
      </x:c>
      <x:c r="C9" s="6" t="str">
        <x:v>PCTY</x:v>
      </x:c>
      <x:c r="D9" s="10" t="str">
        <x:v>N/V</x:v>
      </x:c>
      <x:c r="E9" s="168" t="str">
        <x:v>N/V</x:v>
      </x:c>
      <x:c r="F9" s="168" t="str">
        <x:v>N/V</x:v>
      </x:c>
      <x:c r="G9" s="105" t="n">
        <x:v>1770</x:v>
      </x:c>
      <x:c r="H9" s="15" t="str">
        <x:v>N/D</x:v>
      </x:c>
      <x:c r="I9" s="15" t="str">
        <x:v>N/D</x:v>
      </x:c>
      <x:c r="J9" s="109" t="n">
        <x:v>0.37</x:v>
      </x:c>
      <x:c r="K9" s="15" t="str">
        <x:v>N/D</x:v>
      </x:c>
      <x:c r="L9" s="170" t="str">
        <x:f>IFERROR(F9/G9,"N/V")</x:f>
        <x:v>N/V</x:v>
      </x:c>
      <x:c r="M9" s="170" t="str">
        <x:f>IFERROR(F9/(G9*J9),"N/V")</x:f>
        <x:v>N/V</x:v>
      </x:c>
      <x:c r="N9" s="171" t="str">
        <x:v>N/V</x:v>
      </x:c>
      <x:c r="O9" s="115" t="n">
        <x:v>-0.33</x:v>
      </x:c>
      <x:c r="P9" s="7" t="str">
        <x:v>Payroll and HR software for mid-sized companies. Fewer large clients</x:v>
      </x:c>
    </x:row>
    <x:row r="10" ht="23" customHeight="1">
      <x:c r="A10" s="4"/>
      <x:c r="B10" s="4"/>
      <x:c r="C10" s="4"/>
      <x:c r="D10" s="4"/>
      <x:c r="E10" s="4"/>
      <x:c r="F10" s="4"/>
      <x:c r="G10" s="4"/>
      <x:c r="H10" s="4"/>
      <x:c r="I10" s="4"/>
      <x:c r="J10" s="4"/>
      <x:c r="K10" s="4"/>
      <x:c r="L10" s="4"/>
      <x:c r="M10" s="4"/>
      <x:c r="N10" s="4"/>
      <x:c r="O10" s="4"/>
      <x:c r="P10" s="4"/>
    </x:row>
    <x:row r="11" ht="23" customHeight="1">
      <x:c r="A11" s="4"/>
      <x:c r="B11" s="4"/>
      <x:c r="C11" s="4"/>
      <x:c r="D11" s="4"/>
      <x:c r="E11" s="4"/>
      <x:c r="F11" s="4"/>
      <x:c r="G11" s="4"/>
      <x:c r="H11" s="4"/>
      <x:c r="I11" s="4"/>
      <x:c r="J11" s="4"/>
      <x:c r="K11" s="4"/>
      <x:c r="L11" s="4"/>
      <x:c r="M11" s="4"/>
      <x:c r="N11" s="4"/>
      <x:c r="O11" s="4"/>
      <x:c r="P11" s="4"/>
    </x:row>
    <x:row r="12" ht="23" customHeight="1">
      <x:c r="A12" s="4"/>
      <x:c r="B12" s="4"/>
      <x:c r="C12" s="4"/>
      <x:c r="D12" s="4"/>
      <x:c r="E12" s="4"/>
      <x:c r="F12" s="4"/>
      <x:c r="G12" s="4"/>
      <x:c r="H12" s="4"/>
      <x:c r="I12" s="4"/>
      <x:c r="J12" s="4"/>
      <x:c r="K12" s="4"/>
      <x:c r="L12" s="4"/>
      <x:c r="M12" s="4"/>
      <x:c r="N12" s="4"/>
      <x:c r="O12" s="4"/>
      <x:c r="P12" s="4"/>
    </x:row>
    <x:row r="13" ht="24" customHeight="1">
      <x:c r="A13" s="4"/>
      <x:c r="B13" s="44" t="str">
        <x:v>Peer operating data provide context across different fiscal periods and EBITDA definitions. Unverified peer prices, market</x:v>
      </x:c>
      <x:c r="C13" s="26"/>
      <x:c r="D13" s="26"/>
      <x:c r="E13" s="26"/>
      <x:c r="F13" s="26"/>
      <x:c r="G13" s="26"/>
      <x:c r="H13" s="26"/>
      <x:c r="I13" s="26"/>
      <x:c r="J13" s="26"/>
      <x:c r="K13" s="26"/>
      <x:c r="L13" s="26"/>
      <x:c r="M13" s="26"/>
      <x:c r="N13" s="26"/>
      <x:c r="O13" s="26"/>
      <x:c r="P13" s="26"/>
    </x:row>
    <x:row r="14" ht="24" customHeight="1">
      <x:c r="A14" s="4"/>
      <x:c r="B14" s="45" t="str">
        <x:v>capitalizations, enterprise values and P/E ratios are N/V. They do not set this DCF or the analyst-selected exit multiple.</x:v>
      </x:c>
      <x:c r="C14" s="4"/>
      <x:c r="D14" s="4"/>
      <x:c r="E14" s="4"/>
      <x:c r="F14" s="4"/>
      <x:c r="G14" s="4"/>
      <x:c r="H14" s="4"/>
      <x:c r="I14" s="4"/>
      <x:c r="J14" s="4"/>
      <x:c r="K14" s="4"/>
      <x:c r="L14" s="4"/>
      <x:c r="M14" s="4"/>
      <x:c r="N14" s="4"/>
      <x:c r="O14" s="4"/>
      <x:c r="P14" s="4"/>
    </x:row>
    <x:row r="15" ht="23" customHeight="1">
      <x:c r="A15" s="4"/>
      <x:c r="B15" s="4"/>
      <x:c r="C15" s="4"/>
      <x:c r="D15" s="4"/>
      <x:c r="E15" s="4"/>
      <x:c r="F15" s="4"/>
      <x:c r="G15" s="4"/>
      <x:c r="H15" s="4"/>
      <x:c r="I15" s="4"/>
      <x:c r="J15" s="4"/>
      <x:c r="K15" s="4"/>
      <x:c r="L15" s="4"/>
      <x:c r="M15" s="4"/>
      <x:c r="N15" s="4"/>
      <x:c r="O15" s="4"/>
      <x:c r="P15" s="4"/>
    </x:row>
    <x:row r="16" ht="23" customHeight="1">
      <x:c r="A16" s="4"/>
      <x:c r="B16" s="4"/>
      <x:c r="C16" s="4"/>
      <x:c r="D16" s="4"/>
      <x:c r="E16" s="4"/>
      <x:c r="F16" s="4"/>
      <x:c r="G16" s="4"/>
      <x:c r="H16" s="4"/>
      <x:c r="I16" s="4"/>
      <x:c r="J16" s="4"/>
      <x:c r="K16" s="4"/>
      <x:c r="L16" s="4"/>
      <x:c r="M16" s="4"/>
      <x:c r="N16" s="4"/>
      <x:c r="O16" s="4"/>
      <x:c r="P16" s="4"/>
    </x:row>
    <x:row r="17" ht="23" customHeight="1">
      <x:c r="A17" s="4"/>
      <x:c r="B17" s="4"/>
      <x:c r="C17" s="4"/>
      <x:c r="D17" s="4"/>
      <x:c r="E17" s="4"/>
      <x:c r="F17" s="4"/>
      <x:c r="G17" s="4"/>
      <x:c r="H17" s="4"/>
      <x:c r="I17" s="4"/>
      <x:c r="J17" s="4"/>
      <x:c r="K17" s="4"/>
      <x:c r="L17" s="4"/>
      <x:c r="M17" s="4"/>
      <x:c r="N17" s="4"/>
      <x:c r="O17" s="4"/>
      <x:c r="P17" s="4"/>
    </x:row>
    <x:row r="18" ht="23" customHeight="1">
      <x:c r="A18" s="4"/>
      <x:c r="B18" s="4"/>
      <x:c r="C18" s="4"/>
      <x:c r="D18" s="4"/>
      <x:c r="E18" s="4"/>
      <x:c r="F18" s="4"/>
      <x:c r="G18" s="4"/>
      <x:c r="H18" s="4"/>
      <x:c r="I18" s="4"/>
      <x:c r="J18" s="4"/>
      <x:c r="K18" s="4"/>
      <x:c r="L18" s="4"/>
      <x:c r="M18" s="4"/>
      <x:c r="N18" s="4"/>
      <x:c r="O18" s="4"/>
      <x:c r="P18" s="4"/>
    </x:row>
    <x:row r="19" ht="23" customHeight="1">
      <x:c r="A19" s="4"/>
      <x:c r="B19" s="4"/>
      <x:c r="C19" s="4"/>
      <x:c r="D19" s="4"/>
      <x:c r="E19" s="4"/>
      <x:c r="F19" s="4"/>
      <x:c r="G19" s="4"/>
      <x:c r="H19" s="4"/>
      <x:c r="I19" s="4"/>
      <x:c r="J19" s="4"/>
      <x:c r="K19" s="4"/>
      <x:c r="L19" s="4"/>
      <x:c r="M19" s="4"/>
      <x:c r="N19" s="4"/>
      <x:c r="O19" s="4"/>
      <x:c r="P19" s="4"/>
    </x:row>
    <x:row r="20" ht="23" customHeight="1">
      <x:c r="A20" s="4"/>
      <x:c r="B20" s="4"/>
      <x:c r="C20" s="4"/>
      <x:c r="D20" s="4"/>
      <x:c r="E20" s="4"/>
      <x:c r="F20" s="4"/>
      <x:c r="G20" s="4"/>
      <x:c r="H20" s="4"/>
      <x:c r="I20" s="4"/>
      <x:c r="J20" s="4"/>
      <x:c r="K20" s="4"/>
      <x:c r="L20" s="4"/>
      <x:c r="M20" s="4"/>
      <x:c r="N20" s="4"/>
      <x:c r="O20" s="4"/>
      <x:c r="P20" s="4"/>
    </x:row>
    <x:row r="21" ht="23" customHeight="1">
      <x:c r="A21" s="4"/>
      <x:c r="B21" s="4"/>
      <x:c r="C21" s="4"/>
      <x:c r="D21" s="4"/>
      <x:c r="E21" s="4"/>
      <x:c r="F21" s="4"/>
      <x:c r="G21" s="4"/>
      <x:c r="H21" s="4"/>
      <x:c r="I21" s="4"/>
      <x:c r="J21" s="4"/>
      <x:c r="K21" s="4"/>
      <x:c r="L21" s="4"/>
      <x:c r="M21" s="4"/>
      <x:c r="N21" s="4"/>
      <x:c r="O21" s="4"/>
      <x:c r="P21" s="4"/>
    </x:row>
    <x:row r="22" ht="23" customHeight="1">
      <x:c r="A22" s="4"/>
      <x:c r="B22" s="4"/>
      <x:c r="C22" s="4"/>
      <x:c r="D22" s="4"/>
      <x:c r="E22" s="4"/>
      <x:c r="F22" s="4"/>
      <x:c r="G22" s="4"/>
      <x:c r="H22" s="4"/>
      <x:c r="I22" s="4"/>
      <x:c r="J22" s="4"/>
      <x:c r="K22" s="4"/>
      <x:c r="L22" s="4"/>
      <x:c r="M22" s="4"/>
      <x:c r="N22" s="4"/>
      <x:c r="O22" s="4"/>
      <x:c r="P22" s="4"/>
    </x:row>
    <x:row r="23" ht="23" customHeight="1">
      <x:c r="A23" s="4"/>
      <x:c r="B23" s="4"/>
      <x:c r="C23" s="4"/>
      <x:c r="D23" s="4"/>
      <x:c r="E23" s="4"/>
      <x:c r="F23" s="4"/>
      <x:c r="G23" s="4"/>
      <x:c r="H23" s="4"/>
      <x:c r="I23" s="4"/>
      <x:c r="J23" s="4"/>
      <x:c r="K23" s="4"/>
      <x:c r="L23" s="4"/>
      <x:c r="M23" s="4"/>
      <x:c r="N23" s="4"/>
      <x:c r="O23" s="4"/>
      <x:c r="P23" s="4"/>
    </x:row>
    <x:row r="24" ht="23" customHeight="1">
      <x:c r="A24" s="4"/>
      <x:c r="B24" s="4"/>
      <x:c r="C24" s="4"/>
      <x:c r="D24" s="4"/>
      <x:c r="E24" s="4"/>
      <x:c r="F24" s="4"/>
      <x:c r="G24" s="4"/>
      <x:c r="H24" s="4"/>
      <x:c r="I24" s="4"/>
      <x:c r="J24" s="4"/>
      <x:c r="K24" s="4"/>
      <x:c r="L24" s="4"/>
      <x:c r="M24" s="4"/>
      <x:c r="N24" s="4"/>
      <x:c r="O24" s="4"/>
      <x:c r="P24" s="4"/>
    </x:row>
    <x:row r="25" ht="23" customHeight="1">
      <x:c r="A25" s="4"/>
      <x:c r="B25" s="4"/>
      <x:c r="C25" s="4"/>
      <x:c r="D25" s="4"/>
      <x:c r="E25" s="4"/>
      <x:c r="F25" s="4"/>
      <x:c r="G25" s="4"/>
      <x:c r="H25" s="4"/>
      <x:c r="I25" s="4"/>
      <x:c r="J25" s="4"/>
      <x:c r="K25" s="4"/>
      <x:c r="L25" s="4"/>
      <x:c r="M25" s="4"/>
      <x:c r="N25" s="4"/>
      <x:c r="O25" s="4"/>
      <x:c r="P25" s="4"/>
    </x:row>
    <x:row r="26" ht="23" customHeight="1">
      <x:c r="A26" s="4"/>
      <x:c r="B26" s="4"/>
      <x:c r="C26" s="4"/>
      <x:c r="D26" s="4"/>
      <x:c r="E26" s="4"/>
      <x:c r="F26" s="4"/>
      <x:c r="G26" s="4"/>
      <x:c r="H26" s="4"/>
      <x:c r="I26" s="4"/>
      <x:c r="J26" s="4"/>
      <x:c r="K26" s="4"/>
      <x:c r="L26" s="4"/>
      <x:c r="M26" s="4"/>
      <x:c r="N26" s="4"/>
      <x:c r="O26" s="4"/>
      <x:c r="P26" s="4"/>
    </x:row>
    <x:row r="27" ht="23" customHeight="1">
      <x:c r="A27" s="4"/>
      <x:c r="B27" s="4"/>
      <x:c r="C27" s="4"/>
      <x:c r="D27" s="4"/>
      <x:c r="E27" s="4"/>
      <x:c r="F27" s="4"/>
      <x:c r="G27" s="4"/>
      <x:c r="H27" s="4"/>
      <x:c r="I27" s="4"/>
      <x:c r="J27" s="4"/>
      <x:c r="K27" s="4"/>
      <x:c r="L27" s="4"/>
      <x:c r="M27" s="4"/>
      <x:c r="N27" s="4"/>
      <x:c r="O27" s="4"/>
      <x:c r="P27" s="4"/>
    </x:row>
    <x:row r="28" ht="23" customHeight="1">
      <x:c r="A28" s="4"/>
      <x:c r="B28" s="4"/>
      <x:c r="C28" s="4"/>
      <x:c r="D28" s="4"/>
      <x:c r="E28" s="4"/>
      <x:c r="F28" s="4"/>
      <x:c r="G28" s="4"/>
      <x:c r="H28" s="4"/>
      <x:c r="I28" s="4"/>
      <x:c r="J28" s="4"/>
      <x:c r="K28" s="4"/>
      <x:c r="L28" s="4"/>
      <x:c r="M28" s="4"/>
      <x:c r="N28" s="4"/>
      <x:c r="O28" s="4"/>
      <x:c r="P28" s="4"/>
    </x:row>
    <x:row r="29" ht="23" customHeight="1">
      <x:c r="A29" s="4"/>
      <x:c r="B29" s="4"/>
      <x:c r="C29" s="4"/>
      <x:c r="D29" s="4"/>
      <x:c r="E29" s="4"/>
      <x:c r="F29" s="4"/>
      <x:c r="G29" s="4"/>
      <x:c r="H29" s="4"/>
      <x:c r="I29" s="4"/>
      <x:c r="J29" s="4"/>
      <x:c r="K29" s="4"/>
      <x:c r="L29" s="4"/>
      <x:c r="M29" s="4"/>
      <x:c r="N29" s="4"/>
      <x:c r="O29" s="4"/>
      <x:c r="P29" s="4"/>
    </x:row>
    <x:row r="30" ht="23" customHeight="1">
      <x:c r="A30" s="4"/>
      <x:c r="B30" s="4"/>
      <x:c r="C30" s="4"/>
      <x:c r="D30" s="4"/>
      <x:c r="E30" s="4"/>
      <x:c r="F30" s="4"/>
      <x:c r="G30" s="4"/>
      <x:c r="H30" s="4"/>
      <x:c r="I30" s="4"/>
      <x:c r="J30" s="4"/>
      <x:c r="K30" s="4"/>
      <x:c r="L30" s="4"/>
      <x:c r="M30" s="4"/>
      <x:c r="N30" s="4"/>
      <x:c r="O30" s="4"/>
      <x:c r="P30" s="4"/>
    </x:row>
  </x:sheetData>
  <x:pageMargins left="0.7" right="0.7" top="0.75" bottom="0.75" header="0.3" footer="0.3"/>
</x:worksheet>
</file>

<file path=xl/worksheets/sheet13.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8" hidden="0" customWidth="1"/>
    <x:col min="2" max="2" width="33" hidden="0" customWidth="1"/>
    <x:col min="3" max="3" width="19" hidden="0" customWidth="1"/>
    <x:col min="4" max="4" width="19" hidden="0" customWidth="1"/>
    <x:col min="5" max="5" width="19" hidden="0" customWidth="1"/>
    <x:col min="6" max="6" width="54" hidden="0" customWidth="1"/>
    <x:col min="7" max="7" width="52" hidden="0" customWidth="1"/>
    <x:col min="8" max="8" width="35" hidden="0" customWidth="1"/>
    <x:col min="9" max="9" width="35" hidden="0" customWidth="1"/>
  </x:cols>
  <x:sheetData>
    <x:row r="1" ht="31" customHeight="1">
      <x:c r="A1" s="174" t="str">
        <x:v>Assumption Notes</x:v>
      </x:c>
      <x:c r="B1" s="22"/>
      <x:c r="C1" s="22"/>
      <x:c r="D1" s="22"/>
      <x:c r="E1" s="22"/>
      <x:c r="F1" s="22"/>
      <x:c r="G1" s="22"/>
      <x:c r="H1" s="22"/>
      <x:c r="I1" s="22"/>
    </x:row>
    <x:row r="2" ht="34" customHeight="1">
      <x:c r="A2" s="44" t="str">
        <x:v>Reported figures, calculations and estimates are labeled separately.</x:v>
      </x:c>
      <x:c r="B2" s="26"/>
      <x:c r="C2" s="26"/>
      <x:c r="D2" s="26"/>
      <x:c r="E2" s="26"/>
      <x:c r="F2" s="26"/>
      <x:c r="G2" s="26"/>
      <x:c r="H2" s="26"/>
      <x:c r="I2" s="26"/>
    </x:row>
    <x:row r="3" ht="23" customHeight="1">
      <x:c r="A3" s="4"/>
      <x:c r="B3" s="4"/>
      <x:c r="C3" s="4"/>
      <x:c r="D3" s="4"/>
      <x:c r="E3" s="4"/>
      <x:c r="F3" s="4"/>
      <x:c r="G3" s="4"/>
      <x:c r="H3" s="4"/>
      <x:c r="I3" s="4"/>
    </x:row>
    <x:row r="4" ht="25" customHeight="1">
      <x:c r="A4" s="4"/>
      <x:c r="B4" s="57" t="str">
        <x:v>Assumption Notes</x:v>
      </x:c>
      <x:c r="C4" s="58"/>
      <x:c r="D4" s="58"/>
      <x:c r="E4" s="58"/>
      <x:c r="F4" s="58"/>
      <x:c r="G4" s="58"/>
      <x:c r="H4" s="58"/>
      <x:c r="I4" s="58"/>
    </x:row>
    <x:row r="5" ht="34" customHeight="1">
      <x:c r="A5" s="42"/>
      <x:c r="B5" s="40" t="str">
        <x:v>ID</x:v>
      </x:c>
      <x:c r="C5" s="40" t="str">
        <x:v>Assumption</x:v>
      </x:c>
      <x:c r="D5" s="40" t="str">
        <x:v>Case / period</x:v>
      </x:c>
      <x:c r="E5" s="40" t="str">
        <x:v>Value</x:v>
      </x:c>
      <x:c r="F5" s="40" t="str">
        <x:v>Historical support / source</x:v>
      </x:c>
      <x:c r="G5" s="40" t="str">
        <x:v>Reason for the estimate</x:v>
      </x:c>
      <x:c r="H5" s="40" t="str">
        <x:v>What could prove it wrong</x:v>
      </x:c>
      <x:c r="I5" s="40" t="str">
        <x:v>Classification</x:v>
      </x:c>
    </x:row>
    <x:row r="6" ht="50" customHeight="1">
      <x:c r="A6" s="4"/>
      <x:c r="B6" s="6" t="str">
        <x:v>A01</x:v>
      </x:c>
      <x:c r="C6" s="6" t="str">
        <x:v>Core HCM growth</x:v>
      </x:c>
      <x:c r="D6" s="6" t="str">
        <x:v>Base FY2027</x:v>
      </x:c>
      <x:c r="E6" s="99" t="n">
        <x:v>0.05</x:v>
      </x:c>
      <x:c r="F6" s="7" t="str">
        <x:v>FY2027 Employer Services guidance includes client-funds interest. FY2026 organic growth measures a different revenue mix.</x:v>
      </x:c>
      <x:c r="G6" s="7" t="str">
        <x:v>5% service growth is an estimate based on the broader guidance. It is not the segment guidance itself.</x:v>
      </x:c>
      <x:c r="H6" s="7" t="str">
        <x:v>New business or retention misses guidance</x:v>
      </x:c>
      <x:c r="I6" s="6" t="str">
        <x:v>Analyst estimate</x:v>
      </x:c>
    </x:row>
    <x:row r="7" ht="23" customHeight="1">
      <x:c r="A7" s="4"/>
      <x:c r="B7" s="6" t="str">
        <x:v>A02</x:v>
      </x:c>
      <x:c r="C7" s="6" t="str">
        <x:v>Client-funds balance growth</x:v>
      </x:c>
      <x:c r="D7" s="6" t="str">
        <x:v>Base FY2027</x:v>
      </x:c>
      <x:c r="E7" s="99" t="n">
        <x:v>0.035</x:v>
      </x:c>
      <x:c r="F7" s="6" t="str">
        <x:v>FY2027 guide 3%-4%</x:v>
      </x:c>
      <x:c r="G7" s="6" t="str">
        <x:v>Guidance midpoint</x:v>
      </x:c>
      <x:c r="H7" s="6" t="str">
        <x:v>Payroll balances weaken</x:v>
      </x:c>
      <x:c r="I7" s="6" t="str">
        <x:v>Analyst estimate</x:v>
      </x:c>
    </x:row>
    <x:row r="8" ht="50" customHeight="1">
      <x:c r="A8" s="4"/>
      <x:c r="B8" s="6" t="str">
        <x:v>A03</x:v>
      </x:c>
      <x:c r="C8" s="6" t="str">
        <x:v>Client-funds yield</x:v>
      </x:c>
      <x:c r="D8" s="6" t="str">
        <x:v>Base FY2027</x:v>
      </x:c>
      <x:c r="E8" s="99" t="n">
        <x:v>0.037</x:v>
      </x:c>
      <x:c r="F8" s="6" t="str">
        <x:v>FY2027 guide ~3.7%</x:v>
      </x:c>
      <x:c r="G8" s="7" t="str">
        <x:v>Uses guidance, then assumes lower yields after FY2028</x:v>
      </x:c>
      <x:c r="H8" s="7" t="str">
        <x:v>Rates or investment maturities differ</x:v>
      </x:c>
      <x:c r="I8" s="6" t="str">
        <x:v>Analyst estimate</x:v>
      </x:c>
    </x:row>
    <x:row r="9" ht="50" customHeight="1">
      <x:c r="A9" s="4"/>
      <x:c r="B9" s="6" t="str">
        <x:v>A04</x:v>
      </x:c>
      <x:c r="C9" s="6" t="str">
        <x:v>PEO net growth</x:v>
      </x:c>
      <x:c r="D9" s="6" t="str">
        <x:v>Base FY2027</x:v>
      </x:c>
      <x:c r="E9" s="99" t="n">
        <x:v>0.04</x:v>
      </x:c>
      <x:c r="F9" s="7" t="str">
        <x:v>FY2027 ex pass-through guide 3%-5%</x:v>
      </x:c>
      <x:c r="G9" s="6" t="str">
        <x:v>Midpoint</x:v>
      </x:c>
      <x:c r="H9" s="6" t="str">
        <x:v>WSE or pricing weakens</x:v>
      </x:c>
      <x:c r="I9" s="6" t="str">
        <x:v>Analyst estimate</x:v>
      </x:c>
    </x:row>
    <x:row r="10" ht="50" customHeight="1">
      <x:c r="A10" s="4"/>
      <x:c r="B10" s="6" t="str">
        <x:v>A05</x:v>
      </x:c>
      <x:c r="C10" s="6" t="str">
        <x:v>PEO pass-through growth</x:v>
      </x:c>
      <x:c r="D10" s="6" t="str">
        <x:v>Base FY2027</x:v>
      </x:c>
      <x:c r="E10" s="99" t="n">
        <x:v>0.075</x:v>
      </x:c>
      <x:c r="F10" s="7" t="str">
        <x:v>Total PEO guide 5%-7% and benefits cost inflation</x:v>
      </x:c>
      <x:c r="G10" s="7" t="str">
        <x:v>Reimbursements add no direct EBIT. See PEO Calibration.</x:v>
      </x:c>
      <x:c r="H10" s="6" t="str">
        <x:v>Benefits trend reverses</x:v>
      </x:c>
      <x:c r="I10" s="6" t="str">
        <x:v>Analyst estimate</x:v>
      </x:c>
    </x:row>
    <x:row r="11" ht="50" customHeight="1">
      <x:c r="A11" s="4"/>
      <x:c r="B11" s="6" t="str">
        <x:v>A06</x:v>
      </x:c>
      <x:c r="C11" s="6" t="str">
        <x:v>EBIT margin</x:v>
      </x:c>
      <x:c r="D11" s="6" t="str">
        <x:v>Base FY2031</x:v>
      </x:c>
      <x:c r="E11" s="94" t="n">
        <x:f>'Scenarios'!G14</x:f>
        <x:v>0.29</x:v>
      </x:c>
      <x:c r="F11" s="7" t="str">
        <x:v>FY2026 ~26.3%; FY2027 adjusted guide +70-90 bps</x:v>
      </x:c>
      <x:c r="G11" s="7" t="str">
        <x:v>Revenue and client-funds interest rise faster than costs</x:v>
      </x:c>
      <x:c r="H11" s="6" t="str">
        <x:v>Costs rise as fast as revenue</x:v>
      </x:c>
      <x:c r="I11" s="6" t="str">
        <x:v>Analyst estimate</x:v>
      </x:c>
    </x:row>
    <x:row r="12" ht="50" customHeight="1">
      <x:c r="A12" s="4"/>
      <x:c r="B12" s="6" t="str">
        <x:v>A07</x:v>
      </x:c>
      <x:c r="C12" s="6" t="str">
        <x:v>Capex / revenue</x:v>
      </x:c>
      <x:c r="D12" s="6" t="str">
        <x:v>Base FY2027</x:v>
      </x:c>
      <x:c r="E12" s="94" t="n">
        <x:f>'Scenarios'!C19/'Scenarios'!C12</x:f>
        <x:v>0.029999999999999992</x:v>
      </x:c>
      <x:c r="F12" s="7" t="str">
        <x:v>FY2026 PP&amp;E + intangibles $665m / revenue</x:v>
      </x:c>
      <x:c r="G12" s="6" t="str">
        <x:v>Includes capitalized software</x:v>
      </x:c>
      <x:c r="H12" s="6" t="str">
        <x:v>Software spending rises</x:v>
      </x:c>
      <x:c r="I12" s="6" t="str">
        <x:v>Analyst estimate</x:v>
      </x:c>
    </x:row>
    <x:row r="13" ht="50" customHeight="1">
      <x:c r="A13" s="4"/>
      <x:c r="B13" s="6" t="str">
        <x:v>A08</x:v>
      </x:c>
      <x:c r="C13" s="6" t="str">
        <x:v>Operating NWC ratio</x:v>
      </x:c>
      <x:c r="D13" s="6" t="str">
        <x:v>Base</x:v>
      </x:c>
      <x:c r="E13" s="99" t="n">
        <x:v>-0.025</x:v>
      </x:c>
      <x:c r="F13" s="7" t="str">
        <x:v>Corporate cash conversion; excludes client funds</x:v>
      </x:c>
      <x:c r="G13" s="7" t="str">
        <x:v>Ordinary NWC ratio retained; a separate deferred contract-cost asset is now included in total operating capital.</x:v>
      </x:c>
      <x:c r="H13" s="6" t="str">
        <x:v>Receivables absorb cash</x:v>
      </x:c>
      <x:c r="I13" s="6" t="str">
        <x:v>Analyst estimate</x:v>
      </x:c>
    </x:row>
    <x:row r="14" ht="23" customHeight="1">
      <x:c r="A14" s="4"/>
      <x:c r="B14" s="6" t="str">
        <x:v>A09</x:v>
      </x:c>
      <x:c r="C14" s="6" t="str">
        <x:v>Tax rate</x:v>
      </x:c>
      <x:c r="D14" s="6" t="str">
        <x:v>Base</x:v>
      </x:c>
      <x:c r="E14" s="99" t="n">
        <x:v>0.23</x:v>
      </x:c>
      <x:c r="F14" s="6" t="str">
        <x:v>FY2027 guide ~23%</x:v>
      </x:c>
      <x:c r="G14" s="6" t="str">
        <x:v>Forecast cash tax rate</x:v>
      </x:c>
      <x:c r="H14" s="6" t="str">
        <x:v>Tax law changes</x:v>
      </x:c>
      <x:c r="I14" s="6" t="str">
        <x:v>Analyst estimate</x:v>
      </x:c>
    </x:row>
    <x:row r="15" ht="50" customHeight="1">
      <x:c r="A15" s="4"/>
      <x:c r="B15" s="6" t="str">
        <x:v>A10</x:v>
      </x:c>
      <x:c r="C15" s="6" t="str">
        <x:v>Beta</x:v>
      </x:c>
      <x:c r="D15" s="6" t="str">
        <x:v>Base</x:v>
      </x:c>
      <x:c r="E15" s="94" t="n">
        <x:f>'WACC'!C10</x:f>
        <x:v>0.8388166161807301</x:v>
      </x:c>
      <x:c r="F15" s="7" t="str">
        <x:v>Damodaran January 2026 cash-corrected unlevered services beta 0.81, relevered at ADP corporate D/E.</x:v>
      </x:c>
      <x:c r="G15" s="7" t="str">
        <x:v>An industry-based beta reduces reliance on an unverified company-provider value. Industry scope is broader than payroll; WACC sensitivity remains necessary.</x:v>
      </x:c>
      <x:c r="H15" s="7" t="str">
        <x:v>Risk estimate fails to reflect operating leverage or systematic exposure</x:v>
      </x:c>
      <x:c r="I15" s="6" t="str">
        <x:v>Judgment</x:v>
      </x:c>
    </x:row>
    <x:row r="16" ht="50" customHeight="1">
      <x:c r="A16" s="4"/>
      <x:c r="B16" s="6" t="str">
        <x:v>A11</x:v>
      </x:c>
      <x:c r="C16" s="6" t="str">
        <x:v>Pre-tax debt cost</x:v>
      </x:c>
      <x:c r="D16" s="6" t="str">
        <x:v>Base</x:v>
      </x:c>
      <x:c r="E16" s="99" t="n">
        <x:v>0.0525</x:v>
      </x:c>
      <x:c r="F16" s="7" t="str">
        <x:v>Current rates and ADP credit profile</x:v>
      </x:c>
      <x:c r="G16" s="7" t="str">
        <x:v>Marginal cost, not historical coupon</x:v>
      </x:c>
      <x:c r="H16" s="6" t="str">
        <x:v>New issuance reprices</x:v>
      </x:c>
      <x:c r="I16" s="6" t="str">
        <x:v>Analyst estimate</x:v>
      </x:c>
    </x:row>
    <x:row r="17" ht="50" customHeight="1">
      <x:c r="A17" s="4"/>
      <x:c r="B17" s="6" t="str">
        <x:v>A12</x:v>
      </x:c>
      <x:c r="C17" s="6" t="str">
        <x:v>Terminal growth</x:v>
      </x:c>
      <x:c r="D17" s="6" t="str">
        <x:v>Base</x:v>
      </x:c>
      <x:c r="E17" s="99" t="n">
        <x:v>0.0275</x:v>
      </x:c>
      <x:c r="F17" s="7" t="str">
        <x:v>Long-run economic growth including inflation</x:v>
      </x:c>
      <x:c r="G17" s="6" t="str">
        <x:v>Below explicit operating growth</x:v>
      </x:c>
      <x:c r="H17" s="7" t="str">
        <x:v>Long-run employment or HR-service growth is lower</x:v>
      </x:c>
      <x:c r="I17" s="6" t="str">
        <x:v>Analyst estimate</x:v>
      </x:c>
    </x:row>
    <x:row r="18" ht="50" customHeight="1">
      <x:c r="A18" s="4"/>
      <x:c r="B18" s="6" t="str">
        <x:v>A13</x:v>
      </x:c>
      <x:c r="C18" s="6" t="str">
        <x:v>Implied EV / EBITDA</x:v>
      </x:c>
      <x:c r="D18" s="6" t="str">
        <x:v>Base</x:v>
      </x:c>
      <x:c r="E18" s="203" t="n">
        <x:f>'Assumptions'!C22</x:f>
        <x:v>12.397658328973776</x:v>
      </x:c>
      <x:c r="F18" s="7" t="str">
        <x:v>Terminal value / final-year EBITDA; same growth and reinvestment assumptions.</x:v>
      </x:c>
      <x:c r="G18" s="6" t="str">
        <x:v>Terminal reconciliation</x:v>
      </x:c>
      <x:c r="H18" s="6" t="str">
        <x:v>Growth, reinvestment or required return changes</x:v>
      </x:c>
      <x:c r="I18" s="6" t="str">
        <x:v>Derived</x:v>
      </x:c>
    </x:row>
    <x:row r="19" ht="50" customHeight="1">
      <x:c r="A19" s="4"/>
      <x:c r="B19" s="6" t="str">
        <x:v>A14</x:v>
      </x:c>
      <x:c r="C19" s="6" t="str">
        <x:v>Operating cash reserve</x:v>
      </x:c>
      <x:c r="D19" s="6" t="str">
        <x:v>Cash and debt adjustments</x:v>
      </x:c>
      <x:c r="E19" s="99" t="n">
        <x:v>1500</x:v>
      </x:c>
      <x:c r="F19" s="6" t="str">
        <x:v>No stated minimum</x:v>
      </x:c>
      <x:c r="G19" s="7" t="str">
        <x:v>Keeps cash available for operations</x:v>
      </x:c>
      <x:c r="H19" s="6" t="str">
        <x:v>Management target differs</x:v>
      </x:c>
      <x:c r="I19" s="6" t="str">
        <x:v>Analyst estimate</x:v>
      </x:c>
    </x:row>
    <x:row r="20" ht="50" customHeight="1">
      <x:c r="A20" s="4"/>
      <x:c r="B20" s="6" t="str">
        <x:v>A15</x:v>
      </x:c>
      <x:c r="C20" s="6" t="str">
        <x:v>Client-funds balance sheet</x:v>
      </x:c>
      <x:c r="D20" s="6" t="str">
        <x:v>All periods</x:v>
      </x:c>
      <x:c r="E20" s="7" t="str">
        <x:v>Excluded from cash and debt adjustments</x:v>
      </x:c>
      <x:c r="F20" s="7" t="str">
        <x:v>Client funds held for payroll and taxes</x:v>
      </x:c>
      <x:c r="G20" s="7" t="str">
        <x:v>Avoids double counting forecast float income</x:v>
      </x:c>
      <x:c r="H20" s="6" t="str">
        <x:v>Alternative sum-of-parts method</x:v>
      </x:c>
      <x:c r="I20" s="6" t="str">
        <x:v>Method choice</x:v>
      </x:c>
    </x:row>
    <x:row r="21" ht="50" customHeight="1">
      <x:c r="A21" s="4"/>
      <x:c r="B21" s="6" t="str">
        <x:v>A16</x:v>
      </x:c>
      <x:c r="C21" s="6" t="str">
        <x:v>Stock compensation</x:v>
      </x:c>
      <x:c r="D21" s="6" t="str">
        <x:v>All periods</x:v>
      </x:c>
      <x:c r="E21" s="6" t="str">
        <x:v>Not added back</x:v>
      </x:c>
      <x:c r="F21" s="7" t="str">
        <x:v>Recurring employee cost and dilution</x:v>
      </x:c>
      <x:c r="G21" s="7" t="str">
        <x:v>Avoids treating dilution as free cash</x:v>
      </x:c>
      <x:c r="H21" s="6" t="str">
        <x:v>SBC becomes immaterial</x:v>
      </x:c>
      <x:c r="I21" s="6" t="str">
        <x:v>Method choice</x:v>
      </x:c>
    </x:row>
    <x:row r="22" ht="50" customHeight="1">
      <x:c r="A22" s="4"/>
      <x:c r="B22" s="6" t="str">
        <x:v>A17</x:v>
      </x:c>
      <x:c r="C22" s="6" t="str">
        <x:v>Valuation-date diluted shares</x:v>
      </x:c>
      <x:c r="D22" s="6" t="str">
        <x:v>Per-share calculation</x:v>
      </x:c>
      <x:c r="E22" s="99" t="n">
        <x:v>398.7</x:v>
      </x:c>
      <x:c r="F22" s="7" t="str">
        <x:v>A01: 397.8m current shares; Q4 basic 398.8m and diluted 399.7m.</x:v>
      </x:c>
      <x:c r="G22" s="7" t="str">
        <x:v>Uses 397.8m current basic shares plus 0.9m for dilution. The FY2026 weighted average is 403.3m.</x:v>
      </x:c>
      <x:c r="H22" s="7" t="str">
        <x:v>Buybacks, issuance or a different dilution estimate</x:v>
      </x:c>
      <x:c r="I22" s="6" t="str">
        <x:v>Derived estimate</x:v>
      </x:c>
    </x:row>
    <x:row r="23" ht="50" customHeight="1">
      <x:c r="A23" s="4"/>
      <x:c r="B23" s="118" t="str">
        <x:v>A18</x:v>
      </x:c>
      <x:c r="C23" s="118" t="str">
        <x:v>Terminal ROIC</x:v>
      </x:c>
      <x:c r="D23" s="118" t="str">
        <x:v>Base</x:v>
      </x:c>
      <x:c r="E23" s="154" t="n">
        <x:f>'Assumptions'!C74</x:f>
        <x:v>0.25</x:v>
      </x:c>
      <x:c r="F23" s="119" t="str">
        <x:v>Analyst estimate; 25% base, 20% downside, 30% upside.</x:v>
      </x:c>
      <x:c r="G23" s="119" t="str">
        <x:v>Terminal investment covers required ordinary capital and contract spending. Returns above WACC assume sustained competitive advantages.</x:v>
      </x:c>
      <x:c r="H23" s="119" t="str">
        <x:v>Lower renewal economics or greater required investment</x:v>
      </x:c>
      <x:c r="I23" s="118" t="str">
        <x:v>Analyst estimate</x:v>
      </x:c>
    </x:row>
    <x:row r="24" ht="23" customHeight="1">
      <x:c r="A24" s="4"/>
      <x:c r="B24" s="4"/>
      <x:c r="C24" s="4"/>
      <x:c r="D24" s="4"/>
      <x:c r="E24" s="4"/>
      <x:c r="F24" s="4"/>
      <x:c r="G24" s="4"/>
      <x:c r="H24" s="4"/>
      <x:c r="I24" s="4"/>
    </x:row>
    <x:row r="25" ht="23" customHeight="1">
      <x:c r="A25" s="4"/>
      <x:c r="B25" s="4"/>
      <x:c r="C25" s="4"/>
      <x:c r="D25" s="4"/>
      <x:c r="E25" s="4"/>
      <x:c r="F25" s="4"/>
      <x:c r="G25" s="4"/>
      <x:c r="H25" s="4"/>
      <x:c r="I25" s="4"/>
    </x:row>
    <x:row r="26" ht="23" customHeight="1">
      <x:c r="A26" s="4"/>
      <x:c r="B26" s="4"/>
      <x:c r="C26" s="4"/>
      <x:c r="D26" s="4"/>
      <x:c r="E26" s="4"/>
      <x:c r="F26" s="4"/>
      <x:c r="G26" s="4"/>
      <x:c r="H26" s="4"/>
      <x:c r="I26" s="4"/>
    </x:row>
    <x:row r="27" ht="23" customHeight="1">
      <x:c r="A27" s="4"/>
      <x:c r="B27" s="4"/>
      <x:c r="C27" s="4"/>
      <x:c r="D27" s="4"/>
      <x:c r="E27" s="4"/>
      <x:c r="F27" s="4"/>
      <x:c r="G27" s="4"/>
      <x:c r="H27" s="4"/>
      <x:c r="I27" s="4"/>
    </x:row>
    <x:row r="28" ht="23" customHeight="1">
      <x:c r="A28" s="4"/>
      <x:c r="B28" s="4"/>
      <x:c r="C28" s="4"/>
      <x:c r="D28" s="4"/>
      <x:c r="E28" s="4"/>
      <x:c r="F28" s="4"/>
      <x:c r="G28" s="4"/>
      <x:c r="H28" s="4"/>
      <x:c r="I28" s="4"/>
    </x:row>
    <x:row r="29" ht="23" customHeight="1">
      <x:c r="A29" s="4"/>
      <x:c r="B29" s="4"/>
      <x:c r="C29" s="4"/>
      <x:c r="D29" s="4"/>
      <x:c r="E29" s="4"/>
      <x:c r="F29" s="4"/>
      <x:c r="G29" s="4"/>
      <x:c r="H29" s="4"/>
      <x:c r="I29" s="4"/>
    </x:row>
    <x:row r="30" ht="23" customHeight="1">
      <x:c r="A30" s="4"/>
      <x:c r="B30" s="4"/>
      <x:c r="C30" s="4"/>
      <x:c r="D30" s="4"/>
      <x:c r="E30" s="4"/>
      <x:c r="F30" s="4"/>
      <x:c r="G30" s="4"/>
      <x:c r="H30" s="4"/>
      <x:c r="I30" s="4"/>
    </x:row>
  </x:sheetData>
  <x:pageMargins left="0.7" right="0.7" top="0.75" bottom="0.75" header="0.3" footer="0.3"/>
</x:worksheet>
</file>

<file path=xl/worksheets/sheet14.xml><?xml version="1.0" encoding="utf-8"?>
<x:worksheet xmlns:x="http://schemas.openxmlformats.org/spreadsheetml/2006/main">
  <x:sheetPr>
    <x:tabColor rgb="FFC8D1D8"/>
  </x:sheetPr>
  <x:sheetViews>
    <x:sheetView showGridLines="0" workbookViewId="0">
      <x:pane ySplit="5" topLeftCell="A6" activePane="bottomLeft" state="frozen"/>
    </x:sheetView>
  </x:sheetViews>
  <x:sheetFormatPr defaultRowHeight="15"/>
  <x:cols>
    <x:col min="1" max="1" width="8" hidden="0" customWidth="1"/>
    <x:col min="2" max="2" width="33" hidden="0" customWidth="1"/>
    <x:col min="3" max="3" width="23" hidden="0" customWidth="1"/>
    <x:col min="4" max="4" width="23" hidden="0" customWidth="1"/>
    <x:col min="5" max="5" width="23" hidden="0" customWidth="1"/>
    <x:col min="6" max="6" width="54" hidden="0" customWidth="1"/>
    <x:col min="7" max="7" width="52" hidden="0" customWidth="1"/>
  </x:cols>
  <x:sheetData>
    <x:row r="1" ht="31" customHeight="1">
      <x:c r="A1" s="174" t="str">
        <x:v>Sources</x:v>
      </x:c>
      <x:c r="B1" s="22"/>
      <x:c r="C1" s="22"/>
      <x:c r="D1" s="22"/>
      <x:c r="E1" s="22"/>
      <x:c r="F1" s="22"/>
      <x:c r="G1" s="22"/>
    </x:row>
    <x:row r="2" ht="34" customHeight="1">
      <x:c r="A2" s="44" t="str">
        <x:v>Inputs have source IDs. Company filings and official releases are used first.</x:v>
      </x:c>
      <x:c r="B2" s="26"/>
      <x:c r="C2" s="26"/>
      <x:c r="D2" s="26"/>
      <x:c r="E2" s="26"/>
      <x:c r="F2" s="26"/>
      <x:c r="G2" s="26"/>
    </x:row>
    <x:row r="3" ht="23" customHeight="1">
      <x:c r="A3" s="4"/>
      <x:c r="B3" s="4"/>
      <x:c r="C3" s="4"/>
      <x:c r="D3" s="4"/>
      <x:c r="E3" s="4"/>
      <x:c r="F3" s="4"/>
      <x:c r="G3" s="4"/>
    </x:row>
    <x:row r="4" ht="25" customHeight="1">
      <x:c r="A4" s="4"/>
      <x:c r="B4" s="57" t="str">
        <x:v>Source Register</x:v>
      </x:c>
      <x:c r="C4" s="58"/>
      <x:c r="D4" s="58"/>
      <x:c r="E4" s="58"/>
      <x:c r="F4" s="58"/>
      <x:c r="G4" s="58"/>
    </x:row>
    <x:row r="5" ht="34" customHeight="1">
      <x:c r="A5" s="42"/>
      <x:c r="B5" s="40" t="str">
        <x:v>ID</x:v>
      </x:c>
      <x:c r="C5" s="40" t="str">
        <x:v>Document / publisher</x:v>
      </x:c>
      <x:c r="D5" s="40" t="str">
        <x:v>Date</x:v>
      </x:c>
      <x:c r="E5" s="40" t="str">
        <x:v>Type</x:v>
      </x:c>
      <x:c r="F5" s="40" t="str">
        <x:v>Page / section</x:v>
      </x:c>
      <x:c r="G5" s="40" t="str">
        <x:v>URL or use in model</x:v>
      </x:c>
    </x:row>
    <x:row r="6" ht="50" customHeight="1">
      <x:c r="A6" s="4"/>
      <x:c r="B6" s="6" t="str">
        <x:v>A01</x:v>
      </x:c>
      <x:c r="C6" s="6" t="str">
        <x:v>Automatic Data Processing</x:v>
      </x:c>
      <x:c r="D6" s="6" t="str">
        <x:v>29 Jul 2026</x:v>
      </x:c>
      <x:c r="E6" s="6" t="str">
        <x:v>FY2026 earnings release</x:v>
      </x:c>
      <x:c r="F6" s="7" t="str">
        <x:v>pp.1-4 highlights and outlook. p.5 earnings. pp.6-9 balance sheet, cash flow, shares and segments.</x:v>
      </x:c>
      <x:c r="G6" s="7" t="str">
        <x:v>https://s205.q4cdn.com/887941133/files/doc_financials/2026/q4/ADP-4Q26-Earnings-Release.pdf</x:v>
      </x:c>
    </x:row>
    <x:row r="7" ht="50" customHeight="1">
      <x:c r="A7" s="4"/>
      <x:c r="B7" s="6" t="str">
        <x:v>A02</x:v>
      </x:c>
      <x:c r="C7" s="6" t="str">
        <x:v>Automatic Data Processing</x:v>
      </x:c>
      <x:c r="D7" s="6" t="str">
        <x:v>29 Jul 2026</x:v>
      </x:c>
      <x:c r="E7" s="6" t="str">
        <x:v>FY2026 earnings materials</x:v>
      </x:c>
      <x:c r="F7" s="7" t="str">
        <x:v>PEO pass-through and guidance detail</x:v>
      </x:c>
      <x:c r="G7" s="7" t="str">
        <x:v>https://investors.adp.com/financial-information/quarterly-results</x:v>
      </x:c>
    </x:row>
    <x:row r="8" ht="50" customHeight="1">
      <x:c r="A8" s="4"/>
      <x:c r="B8" s="6" t="str">
        <x:v>A03</x:v>
      </x:c>
      <x:c r="C8" s="6" t="str">
        <x:v>Automatic Data Processing</x:v>
      </x:c>
      <x:c r="D8" s="6" t="str">
        <x:v>6 Aug 2025</x:v>
      </x:c>
      <x:c r="E8" s="6" t="str">
        <x:v>FY2025 Form 10-K</x:v>
      </x:c>
      <x:c r="F8" s="7" t="str">
        <x:v>Income statement p.47; cash flow p.51; client-funds and segment notes</x:v>
      </x:c>
      <x:c r="G8" s="7" t="str">
        <x:v>https://www.sec.gov/Archives/edgar/data/8670/000000867025000037/adp-20250630.htm</x:v>
      </x:c>
    </x:row>
    <x:row r="9" ht="50" customHeight="1">
      <x:c r="A9" s="4"/>
      <x:c r="B9" s="6" t="str">
        <x:v>A04</x:v>
      </x:c>
      <x:c r="C9" s="6" t="str">
        <x:v>Automatic Data Processing</x:v>
      </x:c>
      <x:c r="D9" s="6" t="str">
        <x:v>4 Aug 2023</x:v>
      </x:c>
      <x:c r="E9" s="6" t="str">
        <x:v>FY2023 Form 10-K</x:v>
      </x:c>
      <x:c r="F9" s="7" t="str">
        <x:v>FY2021-FY2023 statements and cash flows</x:v>
      </x:c>
      <x:c r="G9" s="7" t="str">
        <x:v>https://www.sec.gov/Archives/edgar/data/8670/000000867023000030/adp-20230630.htm</x:v>
      </x:c>
    </x:row>
    <x:row r="10" ht="50" customHeight="1">
      <x:c r="A10" s="4"/>
      <x:c r="B10" s="6" t="str">
        <x:v>A05</x:v>
      </x:c>
      <x:c r="C10" s="6" t="str">
        <x:v>Aswath Damodaran / NYU Stern</x:v>
      </x:c>
      <x:c r="D10" s="6" t="str">
        <x:v>Jan 2026</x:v>
      </x:c>
      <x:c r="E10" s="6" t="str">
        <x:v>Industry beta dataset</x:v>
      </x:c>
      <x:c r="F10" s="7" t="str">
        <x:v>Business &amp; Consumer Services beta</x:v>
      </x:c>
      <x:c r="G10" s="7" t="str">
        <x:v>https://pages.stern.nyu.edu/~adamodar/New_Home_Page/datafile/Betas.html</x:v>
      </x:c>
    </x:row>
    <x:row r="11" ht="52" customHeight="1">
      <x:c r="A11" s="4"/>
      <x:c r="B11" s="6" t="str">
        <x:v>A06</x:v>
      </x:c>
      <x:c r="C11" s="6" t="str">
        <x:v>U.S. Department of the Treasury</x:v>
      </x:c>
      <x:c r="D11" s="6" t="str">
        <x:v>5 Aug 2026</x:v>
      </x:c>
      <x:c r="E11" s="6" t="str">
        <x:v>Daily Treasury par yield curve</x:v>
      </x:c>
      <x:c r="F11" s="7" t="str">
        <x:v>10-year rate 4.63% on valuation date</x:v>
      </x:c>
      <x:c r="G11" s="7" t="str">
        <x:v>https://home.treasury.gov/resource-center/data-chart-center/interest-rates/TextView?field_tdr_date_value=2026&amp;type=daily_treasury_yield_curve</x:v>
      </x:c>
    </x:row>
    <x:row r="12" ht="50" customHeight="1">
      <x:c r="A12" s="4"/>
      <x:c r="B12" s="6" t="str">
        <x:v>A07</x:v>
      </x:c>
      <x:c r="C12" s="6" t="str">
        <x:v>Aswath Damodaran / NYU Stern</x:v>
      </x:c>
      <x:c r="D12" s="7" t="str">
        <x:v>2025 estimate; page updated Jan 2026</x:v>
      </x:c>
      <x:c r="E12" s="6" t="str">
        <x:v>Academic / market-data estimate</x:v>
      </x:c>
      <x:c r="F12" s="7" t="str">
        <x:v>U.S. implied equity risk premium: 4.23%. This is a 2025 annual estimate, not a 5 August 2026 observation.</x:v>
      </x:c>
      <x:c r="G12" s="7" t="str">
        <x:v>https://pages.stern.nyu.edu/~adamodar/New_Home_Page/datafile/histimpl.html</x:v>
      </x:c>
    </x:row>
    <x:row r="13" ht="50" customHeight="1">
      <x:c r="A13" s="4"/>
      <x:c r="B13" s="6" t="str">
        <x:v>A08</x:v>
      </x:c>
      <x:c r="C13" s="6" t="str">
        <x:v>Selected bottom-up beta</x:v>
      </x:c>
      <x:c r="D13" s="6" t="str">
        <x:v>5 Aug 2026 model assumption</x:v>
      </x:c>
      <x:c r="E13" s="7" t="str">
        <x:v>Academic data and company balance sheet</x:v>
      </x:c>
      <x:c r="F13" s="7" t="str">
        <x:v>January 2026 cash-corrected unlevered services beta 0.81; ADP funded debt and price-based market equity.</x:v>
      </x:c>
      <x:c r="G13" s="7" t="str">
        <x:v>https://pages.stern.nyu.edu/~adamodar/New_Home_Page/datafile/Betas.html</x:v>
      </x:c>
    </x:row>
    <x:row r="14" ht="50" customHeight="1">
      <x:c r="A14" s="4"/>
      <x:c r="B14" s="6" t="str">
        <x:v>A09</x:v>
      </x:c>
      <x:c r="C14" s="7" t="str">
        <x:v>Yahoo Finance historical-price page</x:v>
      </x:c>
      <x:c r="D14" s="6" t="str">
        <x:v>5 Aug 2026</x:v>
      </x:c>
      <x:c r="E14" s="6" t="str">
        <x:v>5 Aug 2026 closing share price</x:v>
      </x:c>
      <x:c r="F14" s="7" t="str">
        <x:v>ADP 5 Aug 2026 close $270.09; market cap derived using 397.8m current basic shares</x:v>
      </x:c>
      <x:c r="G14" s="7" t="str">
        <x:v>https://ca.finance.yahoo.com/quote/ADP/history/</x:v>
      </x:c>
    </x:row>
    <x:row r="15" ht="50" customHeight="1">
      <x:c r="A15" s="4"/>
      <x:c r="B15" s="6" t="str">
        <x:v>A10</x:v>
      </x:c>
      <x:c r="C15" s="6" t="str">
        <x:v>Paychex</x:v>
      </x:c>
      <x:c r="D15" s="6" t="str">
        <x:v>24 Jun 2026</x:v>
      </x:c>
      <x:c r="E15" s="6" t="str">
        <x:v>FY2026 results</x:v>
      </x:c>
      <x:c r="F15" s="7" t="str">
        <x:v>Revenue, operating income, adjusted operating income</x:v>
      </x:c>
      <x:c r="G15" s="7" t="str">
        <x:v>https://www.sec.gov/Archives/edgar/data/723531/000119312526280314/payx-ex99_1.htm</x:v>
      </x:c>
    </x:row>
    <x:row r="16" ht="52" customHeight="1">
      <x:c r="A16" s="4"/>
      <x:c r="B16" s="6" t="str">
        <x:v>A11</x:v>
      </x:c>
      <x:c r="C16" s="6" t="str">
        <x:v>Paycom Software</x:v>
      </x:c>
      <x:c r="D16" s="6" t="str">
        <x:v>11 Feb 2026</x:v>
      </x:c>
      <x:c r="E16" s="6" t="str">
        <x:v>FY2025 results</x:v>
      </x:c>
      <x:c r="F16" s="7" t="str">
        <x:v>Revenue, growth, adjusted EBITDA, cash/debt</x:v>
      </x:c>
      <x:c r="G16" s="7" t="str">
        <x:v>https://investors.paycom.com/news/news-details/2026/Paycom-Software-Inc--Reports-Fourth-Quarter-and-Year-End-2025-Results/default.aspx</x:v>
      </x:c>
    </x:row>
    <x:row r="17" ht="52" customHeight="1">
      <x:c r="A17" s="4"/>
      <x:c r="B17" s="6" t="str">
        <x:v>A12</x:v>
      </x:c>
      <x:c r="C17" s="6" t="str">
        <x:v>Paylocity</x:v>
      </x:c>
      <x:c r="D17" s="6" t="str">
        <x:v>4 Aug 2026</x:v>
      </x:c>
      <x:c r="E17" s="6" t="str">
        <x:v>FY2026 results</x:v>
      </x:c>
      <x:c r="F17" s="7" t="str">
        <x:v>Revenue / adjusted EBITDA context</x:v>
      </x:c>
      <x:c r="G17" s="7" t="str">
        <x:v>https://investors.paylocity.com/news-releases/news-release-details/paylocity-announces-fourth-quarter-and-fiscal-2026-financial</x:v>
      </x:c>
    </x:row>
    <x:row r="18" ht="50" customHeight="1">
      <x:c r="A18" s="4"/>
      <x:c r="B18" s="6" t="str">
        <x:v>A13</x:v>
      </x:c>
      <x:c r="C18" s="6" t="str">
        <x:v>Automatic Data Processing</x:v>
      </x:c>
      <x:c r="D18" s="6" t="str">
        <x:v>30 Apr 2026</x:v>
      </x:c>
      <x:c r="E18" s="6" t="str">
        <x:v>Q3 FY2026 Form 10-Q</x:v>
      </x:c>
      <x:c r="F18" s="7" t="str">
        <x:v>Interim balance sheet and client funds</x:v>
      </x:c>
      <x:c r="G18" s="7" t="str">
        <x:v>https://www.sec.gov/Archives/edgar/data/8670/000000867026000022/adp-20260331.htm</x:v>
      </x:c>
    </x:row>
    <x:row r="19" ht="50" customHeight="1">
      <x:c r="A19" s="4"/>
      <x:c r="B19" s="6" t="str">
        <x:v>A14</x:v>
      </x:c>
      <x:c r="C19" s="7" t="str">
        <x:v>Yahoo Finance historical-price pages</x:v>
      </x:c>
      <x:c r="D19" s="6" t="str">
        <x:v>5 Aug 2026</x:v>
      </x:c>
      <x:c r="E19" s="6" t="str">
        <x:v>Market data</x:v>
      </x:c>
      <x:c r="F19" s="7" t="str">
        <x:v>Peer dated market fields not independently verified; shown as N/V.</x:v>
      </x:c>
      <x:c r="G19" s="7" t="str">
        <x:v>https://finance.yahoo.com/quote/PAYX/history/</x:v>
      </x:c>
    </x:row>
    <x:row r="20" ht="50" customHeight="1">
      <x:c r="A20" s="4"/>
      <x:c r="B20" s="6" t="str">
        <x:v>A15</x:v>
      </x:c>
      <x:c r="C20" s="6" t="str">
        <x:v>Automatic Data Processing</x:v>
      </x:c>
      <x:c r="D20" s="6" t="str">
        <x:v>5 Aug 2026</x:v>
      </x:c>
      <x:c r="E20" s="7" t="str">
        <x:v>FY2026 Form 10-K (audit verification)</x:v>
      </x:c>
      <x:c r="F20" s="7" t="str">
        <x:v>FY2026 statements, segments, client funds, cash flow, shares and debt. Used after market close to check the July 29 inputs.</x:v>
      </x:c>
      <x:c r="G20" s="7" t="str">
        <x:v>https://www.sec.gov/Archives/edgar/data/8670/000000867026000030/adp-20260630.htm</x:v>
      </x:c>
    </x:row>
    <x:row r="21" ht="23" customHeight="1">
      <x:c r="A21" s="4"/>
      <x:c r="B21" s="4"/>
      <x:c r="C21" s="4"/>
      <x:c r="D21" s="4"/>
      <x:c r="E21" s="4"/>
      <x:c r="F21" s="4"/>
      <x:c r="G21" s="4"/>
    </x:row>
    <x:row r="22" ht="23" customHeight="1">
      <x:c r="A22" s="4"/>
      <x:c r="B22" s="4"/>
      <x:c r="C22" s="4"/>
      <x:c r="D22" s="4"/>
      <x:c r="E22" s="4"/>
      <x:c r="F22" s="4"/>
      <x:c r="G22" s="4"/>
    </x:row>
    <x:row r="23" ht="23" customHeight="1">
      <x:c r="A23" s="4"/>
      <x:c r="B23" s="4"/>
      <x:c r="C23" s="4"/>
      <x:c r="D23" s="4"/>
      <x:c r="E23" s="4"/>
      <x:c r="F23" s="4"/>
      <x:c r="G23" s="4"/>
    </x:row>
    <x:row r="24" ht="23" customHeight="1">
      <x:c r="A24" s="4"/>
      <x:c r="B24" s="4"/>
      <x:c r="C24" s="4"/>
      <x:c r="D24" s="4"/>
      <x:c r="E24" s="4"/>
      <x:c r="F24" s="4"/>
      <x:c r="G24" s="4"/>
    </x:row>
    <x:row r="25" ht="23" customHeight="1">
      <x:c r="A25" s="4"/>
      <x:c r="B25" s="4"/>
      <x:c r="C25" s="4"/>
      <x:c r="D25" s="4"/>
      <x:c r="E25" s="4"/>
      <x:c r="F25" s="4"/>
      <x:c r="G25" s="4"/>
    </x:row>
    <x:row r="26" ht="23" customHeight="1">
      <x:c r="A26" s="4"/>
      <x:c r="B26" s="4"/>
      <x:c r="C26" s="4"/>
      <x:c r="D26" s="4"/>
      <x:c r="E26" s="4"/>
      <x:c r="F26" s="4"/>
      <x:c r="G26" s="4"/>
    </x:row>
    <x:row r="27" ht="23" customHeight="1">
      <x:c r="A27" s="4"/>
      <x:c r="B27" s="4"/>
      <x:c r="C27" s="4"/>
      <x:c r="D27" s="4"/>
      <x:c r="E27" s="4"/>
      <x:c r="F27" s="4"/>
      <x:c r="G27" s="4"/>
    </x:row>
    <x:row r="28" ht="23" customHeight="1">
      <x:c r="A28" s="4"/>
      <x:c r="B28" s="4"/>
      <x:c r="C28" s="4"/>
      <x:c r="D28" s="4"/>
      <x:c r="E28" s="4"/>
      <x:c r="F28" s="4"/>
      <x:c r="G28" s="4"/>
    </x:row>
    <x:row r="29" ht="23" customHeight="1">
      <x:c r="A29" s="4"/>
      <x:c r="B29" s="4"/>
      <x:c r="C29" s="4"/>
      <x:c r="D29" s="4"/>
      <x:c r="E29" s="4"/>
      <x:c r="F29" s="4"/>
      <x:c r="G29" s="4"/>
    </x:row>
    <x:row r="30" ht="23" customHeight="1">
      <x:c r="A30" s="4"/>
      <x:c r="B30" s="4"/>
      <x:c r="C30" s="4"/>
      <x:c r="D30" s="4"/>
      <x:c r="E30" s="4"/>
      <x:c r="F30" s="4"/>
      <x:c r="G30" s="4"/>
    </x:row>
  </x:sheetData>
  <x:pageMargins left="0.7" right="0.7" top="0.75" bottom="0.75" header="0.3" footer="0.3"/>
</x:worksheet>
</file>