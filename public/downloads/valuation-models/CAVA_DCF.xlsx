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3b1a1738b84fca" /></Relationships>
</file>

<file path=xl/workbook.xml><?xml version="1.0" encoding="utf-8"?>
<x:workbook xmlns:x="http://schemas.openxmlformats.org/spreadsheetml/2006/main">
  <x:sheets>
    <x:sheet xmlns:r="http://schemas.openxmlformats.org/officeDocument/2006/relationships" name="Cover" sheetId="1" r:id="R9739bd6759a046f2"/>
    <x:sheet xmlns:r="http://schemas.openxmlformats.org/officeDocument/2006/relationships" name="DCF" sheetId="2" r:id="R141123e760d34fd2"/>
    <x:sheet xmlns:r="http://schemas.openxmlformats.org/officeDocument/2006/relationships" name="Sensitivities" sheetId="3" r:id="R7799494e8710444f"/>
    <x:sheet xmlns:r="http://schemas.openxmlformats.org/officeDocument/2006/relationships" name="Assumptions" sheetId="4" r:id="R16f6dc11b2824c20"/>
    <x:sheet xmlns:r="http://schemas.openxmlformats.org/officeDocument/2006/relationships" name="Forecast" sheetId="5" r:id="Rf8581a7260564698"/>
    <x:sheet xmlns:r="http://schemas.openxmlformats.org/officeDocument/2006/relationships" name="Drivers" sheetId="6" r:id="R10543804d9a2442a"/>
    <x:sheet xmlns:r="http://schemas.openxmlformats.org/officeDocument/2006/relationships" name="Scenarios" sheetId="7" r:id="R10d10f299aeb4afa"/>
    <x:sheet xmlns:r="http://schemas.openxmlformats.org/officeDocument/2006/relationships" name="Terminal Economics" sheetId="8" r:id="Ra8a775a8ee1f4e05"/>
    <x:sheet xmlns:r="http://schemas.openxmlformats.org/officeDocument/2006/relationships" name="WACC" sheetId="9" r:id="Rfe161f05e93a46a9"/>
    <x:sheet xmlns:r="http://schemas.openxmlformats.org/officeDocument/2006/relationships" name="Historical" sheetId="10" r:id="R34a89b0398dd4c01"/>
    <x:sheet xmlns:r="http://schemas.openxmlformats.org/officeDocument/2006/relationships" name="KPIs" sheetId="11" r:id="R45f2c6671c7444bb"/>
    <x:sheet xmlns:r="http://schemas.openxmlformats.org/officeDocument/2006/relationships" name="Comps" sheetId="12" r:id="R9dc7c82ae4c448a8"/>
    <x:sheet xmlns:r="http://schemas.openxmlformats.org/officeDocument/2006/relationships" name="Assumption Notes" sheetId="13" r:id="R9693955cb2d74acd"/>
    <x:sheet xmlns:r="http://schemas.openxmlformats.org/officeDocument/2006/relationships" name="Sources" sheetId="14" r:id="R147fba1a866d4675"/>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200" formatCode="#,##0.0;(#,##0.0);&quot;-&quot;"/>
    <x:numFmt numFmtId="201" formatCode="General"/>
    <x:numFmt numFmtId="202" formatCode="$#,##0.00;($#,##0.00);-"/>
    <x:numFmt numFmtId="203" formatCode="0.0%;(0.0%);-"/>
    <x:numFmt numFmtId="204" formatCode="$#,##0.0;($#,##0.0);-"/>
    <x:numFmt numFmtId="205" formatCode="d mmm yyyy"/>
    <x:numFmt numFmtId="206" formatCode="#,##0.0;(#,##0.0);-"/>
    <x:numFmt numFmtId="207" formatCode="0.0x"/>
    <x:numFmt numFmtId="208" formatCode="0.00%"/>
    <x:numFmt numFmtId="209" formatCode="0.0000%"/>
    <x:numFmt numFmtId="210" formatCode="0.00x"/>
    <x:numFmt numFmtId="211" formatCode="0.0%;(0.0%);&quot;-&quot;"/>
    <x:numFmt numFmtId="212" formatCode="0.000"/>
    <x:numFmt numFmtId="213" formatCode="0.0%"/>
    <x:numFmt numFmtId="214" formatCode="0.000x"/>
    <x:numFmt numFmtId="215" formatCode="#,##0.0;[Red](#,##0.0);-"/>
    <x:numFmt numFmtId="216" formatCode="$0.00;[Red]($0.00);-"/>
    <x:numFmt numFmtId="217" formatCode="0.00"/>
    <x:numFmt numFmtId="218" formatCode="$0.00;($0.00);&quot;-&quot;"/>
    <x:numFmt numFmtId="219" formatCode="0"/>
    <x:numFmt numFmtId="220" formatCode="0.0&quot;x&quot;"/>
    <x:numFmt numFmtId="221" formatCode="0.00&quot;x&quot;"/>
  </x:numFmts>
  <x:fonts count="12">
    <x:font>
      <x:sz val="11"/>
      <x:name val="Carlito"/>
    </x:font>
    <x:font>
      <x:sz val="10"/>
      <x:color rgb="FF19384D"/>
      <x:name val="Arial"/>
    </x:font>
    <x:font>
      <x:b/>
      <x:sz val="15"/>
      <x:color rgb="FF19384D"/>
      <x:name val="Arial"/>
    </x:font>
    <x:font>
      <x:sz val="10"/>
      <x:color rgb="FF62717C"/>
      <x:name val="Arial"/>
    </x:font>
    <x:font>
      <x:b/>
      <x:sz val="10"/>
      <x:color rgb="FF19384D"/>
      <x:name val="Arial"/>
    </x:font>
    <x:font>
      <x:b/>
      <x:sz val="10"/>
      <x:color rgb="FFFFFFFF"/>
      <x:name val="Arial"/>
    </x:font>
    <x:font>
      <x:sz val="10"/>
      <x:color rgb="FF205C95"/>
      <x:name val="Arial"/>
    </x:font>
    <x:font>
      <x:sz val="10"/>
      <x:color rgb="FF1D2024"/>
      <x:name val="Arial"/>
    </x:font>
    <x:font>
      <x:sz val="10"/>
      <x:color rgb="FF137046"/>
      <x:name val="Arial"/>
    </x:font>
    <x:font>
      <x:b/>
      <x:sz val="16"/>
      <x:color rgb="FF19384D"/>
      <x:name val="Arial"/>
    </x:font>
    <x:font>
      <x:sz val="10"/>
      <x:color rgb="FF19384D"/>
      <x:name val="Arial"/>
    </x:font>
    <x:font>
      <x:sz val="10"/>
      <x:color rgb="FF008000"/>
      <x:name val="Arial"/>
    </x:font>
  </x:fonts>
  <x:fills count="6">
    <x:fill>
      <x:patternFill patternType="none"/>
    </x:fill>
    <x:fill>
      <x:patternFill patternType="gray125"/>
    </x:fill>
    <x:fill>
      <x:patternFill patternType="solid">
        <x:fgColor rgb="FFFFFFFF"/>
      </x:patternFill>
    </x:fill>
    <x:fill>
      <x:patternFill patternType="solid">
        <x:fgColor rgb="FFDDE7EC"/>
      </x:patternFill>
    </x:fill>
    <x:fill>
      <x:patternFill patternType="solid">
        <x:fgColor rgb="FF19384D"/>
      </x:patternFill>
    </x:fill>
    <x:fill>
      <x:patternFill patternType="solid">
        <x:fgColor rgb="FFE8EEF2"/>
      </x:patternFill>
    </x:fill>
  </x:fills>
  <x:borders count="2">
    <x:border>
      <x:left/>
      <x:right/>
      <x:top/>
      <x:bottom/>
      <x:diagonal/>
    </x:border>
    <x:border>
      <x:left style="medium">
        <x:color rgb="FF19384D"/>
      </x:left>
      <x:right style="medium">
        <x:color rgb="FF19384D"/>
      </x:right>
      <x:top style="medium">
        <x:color rgb="FF19384D"/>
      </x:top>
      <x:bottom style="medium">
        <x:color rgb="FF19384D"/>
      </x:bottom>
      <x:diagonal/>
    </x:border>
  </x:borders>
  <x:cellStyleXfs count="1">
    <x:xf numFmtId="0" fontId="0" fillId="0" borderId="0"/>
  </x:cellStyleXfs>
  <x:cellXfs count="23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201" fontId="1" fillId="2" borderId="0" xfId="0" applyNumberFormat="1" applyFont="1" applyFill="1" applyBorder="1" applyAlignment="1">
      <x:alignment vertical="center"/>
    </x:xf>
    <x:xf numFmtId="201" fontId="1" fillId="2" borderId="0" xfId="0" applyNumberFormat="1" applyFont="1" applyFill="1" applyBorder="1" applyAlignment="1">
      <x:alignment horizontal="left" vertical="center"/>
    </x:xf>
    <x:xf numFmtId="201" fontId="1" fillId="2" borderId="0" xfId="0" applyNumberFormat="1" applyFont="1" applyFill="1" applyBorder="1" applyAlignment="1">
      <x:alignment horizontal="left" vertical="center" wrapText="1"/>
    </x:xf>
    <x:xf numFmtId="202" fontId="1" fillId="2" borderId="0" xfId="0" applyNumberFormat="1" applyFont="1" applyFill="1" applyBorder="1" applyAlignment="1">
      <x:alignment vertical="center"/>
    </x:xf>
    <x:xf numFmtId="202" fontId="1" fillId="2" borderId="0" xfId="0" applyNumberFormat="1" applyFont="1" applyFill="1" applyBorder="1" applyAlignment="1">
      <x:alignment horizontal="right" vertical="center"/>
    </x:xf>
    <x:xf numFmtId="202" fontId="1" fillId="2" borderId="0" xfId="0" applyNumberFormat="1" applyFont="1" applyFill="1" applyBorder="1" applyAlignment="1">
      <x:alignment horizontal="left" vertical="center"/>
    </x:xf>
    <x:xf numFmtId="203" fontId="1" fillId="2" borderId="0" xfId="0" applyNumberFormat="1" applyFont="1" applyFill="1" applyBorder="1" applyAlignment="1">
      <x:alignment vertical="center"/>
    </x:xf>
    <x:xf numFmtId="203" fontId="1" fillId="2" borderId="0" xfId="0" applyNumberFormat="1" applyFont="1" applyFill="1" applyBorder="1" applyAlignment="1">
      <x:alignment horizontal="right" vertical="center"/>
    </x:xf>
    <x:xf numFmtId="204" fontId="1" fillId="2" borderId="0" xfId="0" applyNumberFormat="1" applyFont="1" applyFill="1" applyBorder="1" applyAlignment="1">
      <x:alignment vertical="center"/>
    </x:xf>
    <x:xf numFmtId="204" fontId="1" fillId="2" borderId="0" xfId="0" applyNumberFormat="1" applyFont="1" applyFill="1" applyBorder="1" applyAlignment="1">
      <x:alignment horizontal="right" vertical="center"/>
    </x:xf>
    <x:xf numFmtId="203" fontId="1" fillId="2" borderId="0" xfId="0" applyNumberFormat="1" applyFont="1" applyFill="1" applyBorder="1" applyAlignment="1">
      <x:alignment horizontal="left" vertical="center"/>
    </x:xf>
    <x:xf numFmtId="201" fontId="1" fillId="2" borderId="0" xfId="0" applyNumberFormat="1" applyFont="1" applyFill="1" applyBorder="1" applyAlignment="1">
      <x:alignment horizontal="right" vertical="center"/>
    </x:xf>
    <x:xf numFmtId="205" fontId="1" fillId="2" borderId="0" xfId="0" applyNumberFormat="1" applyFont="1" applyFill="1" applyBorder="1" applyAlignment="1">
      <x:alignment vertical="center"/>
    </x:xf>
    <x:xf numFmtId="205" fontId="1" fillId="2" borderId="0" xfId="0" applyNumberFormat="1" applyFont="1" applyFill="1" applyBorder="1" applyAlignment="1">
      <x:alignment horizontal="right" vertical="center"/>
    </x:xf>
    <x:xf numFmtId="200" fontId="2" fillId="2" borderId="0" xfId="0" applyNumberFormat="1" applyFont="1" applyFill="1" applyBorder="1" applyAlignment="1">
      <x:alignment vertical="center"/>
    </x:xf>
    <x:xf numFmtId="200"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left" vertical="center" wrapText="1"/>
    </x:xf>
    <x:xf numFmtId="200" fontId="2" fillId="2" borderId="0" xfId="0" applyNumberFormat="1" applyFont="1" applyFill="1" applyBorder="1" applyAlignment="1">
      <x:alignment horizontal="left" vertical="center" wrapText="0"/>
    </x:xf>
    <x:xf numFmtId="200" fontId="3" fillId="2" borderId="0" xfId="0" applyNumberFormat="1" applyFont="1" applyFill="1" applyBorder="1" applyAlignment="1">
      <x:alignment vertical="center"/>
    </x:xf>
    <x:xf numFmtId="200" fontId="3" fillId="2" borderId="0" xfId="0" applyNumberFormat="1" applyFont="1" applyFill="1" applyBorder="1" applyAlignment="1">
      <x:alignment vertical="center" wrapText="1"/>
    </x:xf>
    <x:xf numFmtId="200" fontId="3" fillId="2" borderId="0" xfId="0" applyNumberFormat="1" applyFont="1" applyFill="1" applyBorder="1" applyAlignment="1">
      <x:alignment horizontal="left" vertical="center" wrapText="1"/>
    </x:xf>
    <x:xf numFmtId="200" fontId="3" fillId="2" borderId="0" xfId="0" applyNumberFormat="1" applyFont="1" applyFill="1" applyBorder="1" applyAlignment="1">
      <x:alignment horizontal="left" vertical="center" wrapText="0"/>
    </x:xf>
    <x:xf numFmtId="201" fontId="1" fillId="3" borderId="0" xfId="0" applyNumberFormat="1" applyFont="1" applyFill="1" applyBorder="1" applyAlignment="1">
      <x:alignment horizontal="left" vertical="center"/>
    </x:xf>
    <x:xf numFmtId="202" fontId="1" fillId="3" borderId="0" xfId="0" applyNumberFormat="1" applyFont="1" applyFill="1" applyBorder="1" applyAlignment="1">
      <x:alignment horizontal="right" vertical="center"/>
    </x:xf>
    <x:xf numFmtId="202" fontId="1" fillId="3" borderId="0" xfId="0" applyNumberFormat="1" applyFont="1" applyFill="1" applyBorder="1" applyAlignment="1">
      <x:alignment horizontal="left" vertical="center"/>
    </x:xf>
    <x:xf numFmtId="200" fontId="1" fillId="3" borderId="0" xfId="0" applyNumberFormat="1" applyFont="1" applyFill="1" applyBorder="1" applyAlignment="1">
      <x:alignment vertical="center"/>
    </x:xf>
    <x:xf numFmtId="201" fontId="1" fillId="3" borderId="0" xfId="0" applyNumberFormat="1" applyFont="1" applyFill="1" applyBorder="1" applyAlignment="1">
      <x:alignment horizontal="left" vertical="center" wrapText="1"/>
    </x:xf>
    <x:xf numFmtId="201" fontId="4" fillId="3" borderId="0" xfId="0" applyNumberFormat="1" applyFont="1" applyFill="1" applyBorder="1" applyAlignment="1">
      <x:alignment horizontal="left" vertical="center"/>
    </x:xf>
    <x:xf numFmtId="202" fontId="4" fillId="3" borderId="0" xfId="0" applyNumberFormat="1" applyFont="1" applyFill="1" applyBorder="1" applyAlignment="1">
      <x:alignment horizontal="right" vertical="center"/>
    </x:xf>
    <x:xf numFmtId="202" fontId="4" fillId="3" borderId="0" xfId="0" applyNumberFormat="1" applyFont="1" applyFill="1" applyBorder="1" applyAlignment="1">
      <x:alignment horizontal="left" vertical="center"/>
    </x:xf>
    <x:xf numFmtId="200" fontId="4" fillId="3" borderId="0" xfId="0" applyNumberFormat="1" applyFont="1" applyFill="1" applyBorder="1" applyAlignment="1">
      <x:alignment vertical="center"/>
    </x:xf>
    <x:xf numFmtId="201" fontId="4" fillId="3" borderId="0" xfId="0" applyNumberFormat="1" applyFont="1" applyFill="1" applyBorder="1" applyAlignment="1">
      <x:alignment horizontal="left" vertical="center" wrapText="1"/>
    </x:xf>
    <x:xf numFmtId="202" fontId="4" fillId="3" borderId="0" xfId="0" applyNumberFormat="1" applyFont="1" applyFill="1" applyBorder="1" applyAlignment="1">
      <x:alignment horizontal="right" vertical="center" wrapText="1"/>
    </x:xf>
    <x:xf numFmtId="202" fontId="4" fillId="3" borderId="0" xfId="0" applyNumberFormat="1" applyFont="1" applyFill="1" applyBorder="1" applyAlignment="1">
      <x:alignment horizontal="left" vertical="center" wrapText="1"/>
    </x:xf>
    <x:xf numFmtId="200" fontId="4" fillId="3" borderId="0" xfId="0" applyNumberFormat="1" applyFont="1" applyFill="1" applyBorder="1" applyAlignment="1">
      <x:alignment vertical="center" wrapText="1"/>
    </x:xf>
    <x:xf numFmtId="201" fontId="4" fillId="3" borderId="0" xfId="0" applyNumberFormat="1" applyFont="1" applyFill="1" applyBorder="1" applyAlignment="1">
      <x:alignment horizontal="center" vertical="center" wrapText="1"/>
    </x:xf>
    <x:xf numFmtId="202" fontId="4" fillId="3" borderId="0" xfId="0" applyNumberFormat="1" applyFont="1" applyFill="1" applyBorder="1" applyAlignment="1">
      <x:alignment horizontal="center" vertical="center" wrapText="1"/>
    </x:xf>
    <x:xf numFmtId="200" fontId="4" fillId="3" borderId="0" xfId="0" applyNumberFormat="1" applyFont="1" applyFill="1" applyBorder="1" applyAlignment="1">
      <x:alignment horizontal="center" vertical="center" wrapText="1"/>
    </x:xf>
    <x:xf numFmtId="201" fontId="3" fillId="2" borderId="0" xfId="0" applyNumberFormat="1" applyFont="1" applyFill="1" applyBorder="1" applyAlignment="1">
      <x:alignment horizontal="left" vertical="center" wrapText="1"/>
    </x:xf>
    <x:xf numFmtId="201" fontId="3" fillId="2" borderId="0" xfId="0" applyNumberFormat="1" applyFont="1" applyFill="1" applyBorder="1" applyAlignment="1">
      <x:alignment horizontal="left" vertical="center" wrapText="0"/>
    </x:xf>
    <x:xf numFmtId="200" fontId="3" fillId="2" borderId="0" xfId="0" applyNumberFormat="1" applyFont="1" applyFill="1" applyBorder="1" applyAlignment="1">
      <x:alignment vertical="center" wrapText="0"/>
    </x:xf>
    <x:xf numFmtId="206" fontId="1" fillId="2" borderId="0" xfId="0" applyNumberFormat="1" applyFont="1" applyFill="1" applyBorder="1" applyAlignment="1">
      <x:alignment vertical="center"/>
    </x:xf>
    <x:xf numFmtId="206" fontId="1" fillId="2" borderId="0" xfId="0" applyNumberFormat="1" applyFont="1" applyFill="1" applyBorder="1" applyAlignment="1">
      <x:alignment horizontal="right" vertical="center"/>
    </x:xf>
    <x:xf numFmtId="207" fontId="1" fillId="2" borderId="0" xfId="0" applyNumberFormat="1" applyFont="1" applyFill="1" applyBorder="1" applyAlignment="1">
      <x:alignment vertical="center"/>
    </x:xf>
    <x:xf numFmtId="207" fontId="1" fillId="2" borderId="0" xfId="0" applyNumberFormat="1" applyFont="1" applyFill="1" applyBorder="1" applyAlignment="1">
      <x:alignment horizontal="right" vertical="center"/>
    </x:xf>
    <x:xf numFmtId="201" fontId="5" fillId="2" borderId="0" xfId="0" applyNumberFormat="1" applyFont="1" applyFill="1" applyBorder="1" applyAlignment="1">
      <x:alignment horizontal="left" vertical="center"/>
    </x:xf>
    <x:xf numFmtId="200" fontId="5" fillId="2" borderId="0" xfId="0" applyNumberFormat="1" applyFont="1" applyFill="1" applyBorder="1" applyAlignment="1">
      <x:alignment vertical="center"/>
    </x:xf>
    <x:xf numFmtId="201" fontId="5" fillId="2" borderId="0" xfId="0" applyNumberFormat="1" applyFont="1" applyFill="1" applyBorder="1" applyAlignment="1">
      <x:alignment horizontal="left" vertical="center" wrapText="1"/>
    </x:xf>
    <x:xf numFmtId="200" fontId="5" fillId="2" borderId="0" xfId="0" applyNumberFormat="1" applyFont="1" applyFill="1" applyBorder="1" applyAlignment="1">
      <x:alignment vertical="center" wrapText="1"/>
    </x:xf>
    <x:xf numFmtId="200" fontId="5" fillId="2" borderId="0" xfId="0" applyNumberFormat="1" applyFont="1" applyFill="1" applyBorder="1" applyAlignment="1">
      <x:alignment horizontal="left" vertical="center" wrapText="1"/>
    </x:xf>
    <x:xf numFmtId="201" fontId="5" fillId="4" borderId="0" xfId="0" applyNumberFormat="1" applyFont="1" applyFill="1" applyBorder="1" applyAlignment="1">
      <x:alignment horizontal="left" vertical="center" wrapText="1"/>
    </x:xf>
    <x:xf numFmtId="200" fontId="5" fillId="4" borderId="0" xfId="0" applyNumberFormat="1" applyFont="1" applyFill="1" applyBorder="1" applyAlignment="1">
      <x:alignment horizontal="left" vertical="center" wrapText="1"/>
    </x:xf>
    <x:xf numFmtId="201" fontId="5" fillId="4" borderId="0" xfId="0" applyNumberFormat="1" applyFont="1" applyFill="1" applyBorder="1" applyAlignment="1">
      <x:alignment horizontal="left" vertical="center" wrapText="0"/>
    </x:xf>
    <x:xf numFmtId="200" fontId="5" fillId="4" borderId="0" xfId="0" applyNumberFormat="1" applyFont="1" applyFill="1" applyBorder="1" applyAlignment="1">
      <x:alignment horizontal="left" vertical="center" wrapText="0"/>
    </x:xf>
    <x:xf numFmtId="205" fontId="1" fillId="3" borderId="0" xfId="0" applyNumberFormat="1" applyFont="1" applyFill="1" applyBorder="1" applyAlignment="1">
      <x:alignment horizontal="right" vertical="center"/>
    </x:xf>
    <x:xf numFmtId="206" fontId="1" fillId="3" borderId="0" xfId="0" applyNumberFormat="1" applyFont="1" applyFill="1" applyBorder="1" applyAlignment="1">
      <x:alignment horizontal="right" vertical="center"/>
    </x:xf>
    <x:xf numFmtId="205" fontId="4" fillId="3" borderId="0" xfId="0" applyNumberFormat="1" applyFont="1" applyFill="1" applyBorder="1" applyAlignment="1">
      <x:alignment horizontal="right" vertical="center"/>
    </x:xf>
    <x:xf numFmtId="206" fontId="4" fillId="3" borderId="0" xfId="0" applyNumberFormat="1" applyFont="1" applyFill="1" applyBorder="1" applyAlignment="1">
      <x:alignment horizontal="right" vertical="center"/>
    </x:xf>
    <x:xf numFmtId="205" fontId="4" fillId="3" borderId="0" xfId="0" applyNumberFormat="1" applyFont="1" applyFill="1" applyBorder="1" applyAlignment="1">
      <x:alignment horizontal="right" vertical="center" wrapText="1"/>
    </x:xf>
    <x:xf numFmtId="206" fontId="4" fillId="3" borderId="0" xfId="0" applyNumberFormat="1" applyFont="1" applyFill="1" applyBorder="1" applyAlignment="1">
      <x:alignment horizontal="right" vertical="center" wrapText="1"/>
    </x:xf>
    <x:xf numFmtId="205" fontId="4" fillId="3" borderId="0" xfId="0" applyNumberFormat="1" applyFont="1" applyFill="1" applyBorder="1" applyAlignment="1">
      <x:alignment horizontal="center" vertical="center" wrapText="1"/>
    </x:xf>
    <x:xf numFmtId="206" fontId="4" fillId="3" borderId="0" xfId="0" applyNumberFormat="1" applyFont="1" applyFill="1" applyBorder="1" applyAlignment="1">
      <x:alignment horizontal="center" vertical="center" wrapText="1"/>
    </x:xf>
    <x:xf numFmtId="208" fontId="1" fillId="2" borderId="0" xfId="0" applyNumberFormat="1" applyFont="1" applyFill="1" applyBorder="1" applyAlignment="1">
      <x:alignment vertical="center"/>
    </x:xf>
    <x:xf numFmtId="208" fontId="1" fillId="2" borderId="0" xfId="0" applyNumberFormat="1" applyFont="1" applyFill="1" applyBorder="1" applyAlignment="1">
      <x:alignment horizontal="right" vertical="center"/>
    </x:xf>
    <x:xf numFmtId="209" fontId="1" fillId="2" borderId="0" xfId="0" applyNumberFormat="1" applyFont="1" applyFill="1" applyBorder="1" applyAlignment="1">
      <x:alignment vertical="center"/>
    </x:xf>
    <x:xf numFmtId="209" fontId="1" fillId="2" borderId="0" xfId="0" applyNumberFormat="1" applyFont="1" applyFill="1" applyBorder="1" applyAlignment="1">
      <x:alignment horizontal="right" vertical="center"/>
    </x:xf>
    <x:xf numFmtId="210" fontId="1" fillId="2" borderId="0" xfId="0" applyNumberFormat="1" applyFont="1" applyFill="1" applyBorder="1" applyAlignment="1">
      <x:alignment vertical="center"/>
    </x:xf>
    <x:xf numFmtId="210" fontId="1" fillId="2" borderId="0" xfId="0" applyNumberFormat="1" applyFont="1" applyFill="1" applyBorder="1" applyAlignment="1">
      <x:alignment horizontal="right" vertical="center"/>
    </x:xf>
    <x:xf numFmtId="208" fontId="1" fillId="3" borderId="0" xfId="0" applyNumberFormat="1" applyFont="1" applyFill="1" applyBorder="1" applyAlignment="1">
      <x:alignment horizontal="right" vertical="center"/>
    </x:xf>
    <x:xf numFmtId="209" fontId="1" fillId="3" borderId="0" xfId="0" applyNumberFormat="1" applyFont="1" applyFill="1" applyBorder="1" applyAlignment="1">
      <x:alignment horizontal="right" vertical="center"/>
    </x:xf>
    <x:xf numFmtId="203" fontId="1" fillId="3" borderId="0" xfId="0" applyNumberFormat="1" applyFont="1" applyFill="1" applyBorder="1" applyAlignment="1">
      <x:alignment horizontal="right" vertical="center"/>
    </x:xf>
    <x:xf numFmtId="208" fontId="4" fillId="3" borderId="0" xfId="0" applyNumberFormat="1" applyFont="1" applyFill="1" applyBorder="1" applyAlignment="1">
      <x:alignment horizontal="right" vertical="center"/>
    </x:xf>
    <x:xf numFmtId="209" fontId="4" fillId="3" borderId="0" xfId="0" applyNumberFormat="1" applyFont="1" applyFill="1" applyBorder="1" applyAlignment="1">
      <x:alignment horizontal="right" vertical="center"/>
    </x:xf>
    <x:xf numFmtId="203" fontId="4" fillId="3" borderId="0" xfId="0" applyNumberFormat="1" applyFont="1" applyFill="1" applyBorder="1" applyAlignment="1">
      <x:alignment horizontal="right" vertical="center"/>
    </x:xf>
    <x:xf numFmtId="208" fontId="4" fillId="3" borderId="0" xfId="0" applyNumberFormat="1" applyFont="1" applyFill="1" applyBorder="1" applyAlignment="1">
      <x:alignment horizontal="right" vertical="center" wrapText="1"/>
    </x:xf>
    <x:xf numFmtId="209" fontId="4" fillId="3" borderId="0" xfId="0" applyNumberFormat="1" applyFont="1" applyFill="1" applyBorder="1" applyAlignment="1">
      <x:alignment horizontal="right" vertical="center" wrapText="1"/>
    </x:xf>
    <x:xf numFmtId="203" fontId="4" fillId="3" borderId="0" xfId="0" applyNumberFormat="1" applyFont="1" applyFill="1" applyBorder="1" applyAlignment="1">
      <x:alignment horizontal="right" vertical="center" wrapText="1"/>
    </x:xf>
    <x:xf numFmtId="208" fontId="4" fillId="3" borderId="0" xfId="0" applyNumberFormat="1" applyFont="1" applyFill="1" applyBorder="1" applyAlignment="1">
      <x:alignment horizontal="center" vertical="center" wrapText="1"/>
    </x:xf>
    <x:xf numFmtId="209" fontId="4" fillId="3" borderId="0" xfId="0" applyNumberFormat="1" applyFont="1" applyFill="1" applyBorder="1" applyAlignment="1">
      <x:alignment horizontal="center" vertical="center" wrapText="1"/>
    </x:xf>
    <x:xf numFmtId="203" fontId="4" fillId="3" borderId="0" xfId="0" applyNumberFormat="1" applyFont="1" applyFill="1" applyBorder="1" applyAlignment="1">
      <x:alignment horizontal="center" vertical="center" wrapText="1"/>
    </x:xf>
    <x:xf numFmtId="211" fontId="4" fillId="3" borderId="0" xfId="0" applyNumberFormat="1" applyFont="1" applyFill="1" applyBorder="1" applyAlignment="1">
      <x:alignment horizontal="center" vertical="center" wrapText="1"/>
    </x:xf>
    <x:xf numFmtId="211" fontId="1" fillId="2" borderId="0" xfId="0" applyNumberFormat="1" applyFont="1" applyFill="1" applyBorder="1" applyAlignment="1">
      <x:alignment horizontal="right" vertical="center"/>
    </x:xf>
    <x:xf numFmtId="200" fontId="6" fillId="2" borderId="0" xfId="0" applyNumberFormat="1" applyFont="1" applyFill="1" applyBorder="1" applyAlignment="1">
      <x:alignment vertical="center"/>
    </x:xf>
    <x:xf numFmtId="205" fontId="6" fillId="2" borderId="0" xfId="0" applyNumberFormat="1" applyFont="1" applyFill="1" applyBorder="1" applyAlignment="1">
      <x:alignment vertical="center"/>
    </x:xf>
    <x:xf numFmtId="205" fontId="6" fillId="2" borderId="0" xfId="0" applyNumberFormat="1" applyFont="1" applyFill="1" applyBorder="1" applyAlignment="1">
      <x:alignment horizontal="right" vertical="center"/>
    </x:xf>
    <x:xf numFmtId="202" fontId="6" fillId="2" borderId="0" xfId="0" applyNumberFormat="1" applyFont="1" applyFill="1" applyBorder="1" applyAlignment="1">
      <x:alignment vertical="center"/>
    </x:xf>
    <x:xf numFmtId="202" fontId="6" fillId="2" borderId="0" xfId="0" applyNumberFormat="1" applyFont="1" applyFill="1" applyBorder="1" applyAlignment="1">
      <x:alignment horizontal="right" vertical="center"/>
    </x:xf>
    <x:xf numFmtId="201" fontId="6" fillId="2" borderId="0" xfId="0" applyNumberFormat="1" applyFont="1" applyFill="1" applyBorder="1" applyAlignment="1">
      <x:alignment vertical="center"/>
    </x:xf>
    <x:xf numFmtId="201" fontId="6" fillId="2" borderId="0" xfId="0" applyNumberFormat="1" applyFont="1" applyFill="1" applyBorder="1" applyAlignment="1">
      <x:alignment horizontal="right" vertical="center"/>
    </x:xf>
    <x:xf numFmtId="200" fontId="7" fillId="2" borderId="0" xfId="0" applyNumberFormat="1" applyFont="1" applyFill="1" applyBorder="1" applyAlignment="1">
      <x:alignment vertical="center"/>
    </x:xf>
    <x:xf numFmtId="206" fontId="7" fillId="2" borderId="0" xfId="0" applyNumberFormat="1" applyFont="1" applyFill="1" applyBorder="1" applyAlignment="1">
      <x:alignment vertical="center"/>
    </x:xf>
    <x:xf numFmtId="206" fontId="7" fillId="2" borderId="0" xfId="0" applyNumberFormat="1" applyFont="1" applyFill="1" applyBorder="1" applyAlignment="1">
      <x:alignment horizontal="right" vertical="center"/>
    </x:xf>
    <x:xf numFmtId="206" fontId="6" fillId="2" borderId="0" xfId="0" applyNumberFormat="1" applyFont="1" applyFill="1" applyBorder="1" applyAlignment="1">
      <x:alignment vertical="center"/>
    </x:xf>
    <x:xf numFmtId="206" fontId="6" fillId="2" borderId="0" xfId="0" applyNumberFormat="1" applyFont="1" applyFill="1" applyBorder="1" applyAlignment="1">
      <x:alignment horizontal="right" vertical="center"/>
    </x:xf>
    <x:xf numFmtId="212" fontId="6" fillId="2" borderId="0" xfId="0" applyNumberFormat="1" applyFont="1" applyFill="1" applyBorder="1" applyAlignment="1">
      <x:alignment vertical="center"/>
    </x:xf>
    <x:xf numFmtId="212" fontId="6" fillId="2" borderId="0" xfId="0" applyNumberFormat="1" applyFont="1" applyFill="1" applyBorder="1" applyAlignment="1">
      <x:alignment horizontal="right" vertical="center"/>
    </x:xf>
    <x:xf numFmtId="203" fontId="6" fillId="2" borderId="0" xfId="0" applyNumberFormat="1" applyFont="1" applyFill="1" applyBorder="1" applyAlignment="1">
      <x:alignment vertical="center"/>
    </x:xf>
    <x:xf numFmtId="203" fontId="6" fillId="2" borderId="0" xfId="0" applyNumberFormat="1" applyFont="1" applyFill="1" applyBorder="1" applyAlignment="1">
      <x:alignment horizontal="right" vertical="center"/>
    </x:xf>
    <x:xf numFmtId="200" fontId="8" fillId="2" borderId="0" xfId="0" applyNumberFormat="1" applyFont="1" applyFill="1" applyBorder="1" applyAlignment="1">
      <x:alignment vertical="center"/>
    </x:xf>
    <x:xf numFmtId="206" fontId="8" fillId="2" borderId="0" xfId="0" applyNumberFormat="1" applyFont="1" applyFill="1" applyBorder="1" applyAlignment="1">
      <x:alignment vertical="center"/>
    </x:xf>
    <x:xf numFmtId="206" fontId="8" fillId="2" borderId="0" xfId="0" applyNumberFormat="1" applyFont="1" applyFill="1" applyBorder="1" applyAlignment="1">
      <x:alignment horizontal="right" vertical="center"/>
    </x:xf>
    <x:xf numFmtId="208" fontId="8" fillId="2" borderId="0" xfId="0" applyNumberFormat="1" applyFont="1" applyFill="1" applyBorder="1" applyAlignment="1">
      <x:alignment vertical="center"/>
    </x:xf>
    <x:xf numFmtId="208" fontId="8" fillId="2" borderId="0" xfId="0" applyNumberFormat="1" applyFont="1" applyFill="1" applyBorder="1" applyAlignment="1">
      <x:alignment horizontal="right" vertical="center"/>
    </x:xf>
    <x:xf numFmtId="208" fontId="6" fillId="2" borderId="0" xfId="0" applyNumberFormat="1" applyFont="1" applyFill="1" applyBorder="1" applyAlignment="1">
      <x:alignment vertical="center"/>
    </x:xf>
    <x:xf numFmtId="208" fontId="6" fillId="2" borderId="0" xfId="0" applyNumberFormat="1" applyFont="1" applyFill="1" applyBorder="1" applyAlignment="1">
      <x:alignment horizontal="right" vertical="center"/>
    </x:xf>
    <x:xf numFmtId="208" fontId="7" fillId="2" borderId="0" xfId="0" applyNumberFormat="1" applyFont="1" applyFill="1" applyBorder="1" applyAlignment="1">
      <x:alignment vertical="center"/>
    </x:xf>
    <x:xf numFmtId="208" fontId="7" fillId="2" borderId="0" xfId="0" applyNumberFormat="1" applyFont="1" applyFill="1" applyBorder="1" applyAlignment="1">
      <x:alignment horizontal="right" vertical="center"/>
    </x:xf>
    <x:xf numFmtId="213" fontId="8" fillId="2" borderId="0" xfId="0" applyNumberFormat="1" applyFont="1" applyFill="1" applyBorder="1" applyAlignment="1">
      <x:alignment vertical="center"/>
    </x:xf>
    <x:xf numFmtId="213" fontId="8" fillId="2" borderId="0" xfId="0" applyNumberFormat="1" applyFont="1" applyFill="1" applyBorder="1" applyAlignment="1">
      <x:alignment horizontal="right" vertical="center"/>
    </x:xf>
    <x:xf numFmtId="213" fontId="6" fillId="2" borderId="0" xfId="0" applyNumberFormat="1" applyFont="1" applyFill="1" applyBorder="1" applyAlignment="1">
      <x:alignment vertical="center"/>
    </x:xf>
    <x:xf numFmtId="213" fontId="6" fillId="2" borderId="0" xfId="0" applyNumberFormat="1" applyFont="1" applyFill="1" applyBorder="1" applyAlignment="1">
      <x:alignment horizontal="right" vertical="center"/>
    </x:xf>
    <x:xf numFmtId="200" fontId="1" fillId="2" borderId="0" xfId="0" applyNumberFormat="1" applyFont="1" applyFill="1" applyBorder="1" applyAlignment="1">
      <x:alignment horizontal="left" vertical="center"/>
    </x:xf>
    <x:xf numFmtId="200" fontId="6" fillId="2" borderId="0" xfId="0" applyNumberFormat="1" applyFont="1" applyFill="1" applyBorder="1" applyAlignment="1">
      <x:alignment horizontal="right" vertical="center"/>
    </x:xf>
    <x:xf numFmtId="200" fontId="1" fillId="2" borderId="0" xfId="0" applyNumberFormat="1" applyFont="1" applyFill="1" applyBorder="1" applyAlignment="1">
      <x:alignment horizontal="left" vertical="center" wrapText="1"/>
    </x:xf>
    <x:xf numFmtId="205" fontId="6" fillId="3" borderId="0" xfId="0" applyNumberFormat="1" applyFont="1" applyFill="1" applyBorder="1" applyAlignment="1">
      <x:alignment horizontal="right" vertical="center"/>
    </x:xf>
    <x:xf numFmtId="201" fontId="3" fillId="3" borderId="0" xfId="0" applyNumberFormat="1" applyFont="1" applyFill="1" applyBorder="1" applyAlignment="1">
      <x:alignment horizontal="center" vertical="center" wrapText="1"/>
    </x:xf>
    <x:xf numFmtId="200" fontId="3" fillId="3" borderId="0" xfId="0" applyNumberFormat="1" applyFont="1" applyFill="1" applyBorder="1" applyAlignment="1">
      <x:alignment horizontal="center" vertical="center" wrapText="1"/>
    </x:xf>
    <x:xf numFmtId="201" fontId="3" fillId="3" borderId="0" xfId="0" applyNumberFormat="1" applyFont="1" applyFill="1" applyBorder="1" applyAlignment="1">
      <x:alignment horizontal="left" vertical="center" wrapText="1"/>
    </x:xf>
    <x:xf numFmtId="200" fontId="3" fillId="3" borderId="0" xfId="0" applyNumberFormat="1" applyFont="1" applyFill="1" applyBorder="1" applyAlignment="1">
      <x:alignment horizontal="left" vertical="center" wrapText="1"/>
    </x:xf>
    <x:xf numFmtId="201" fontId="3" fillId="2" borderId="0" xfId="0" applyNumberFormat="1" applyFont="1" applyFill="1" applyBorder="1" applyAlignment="1">
      <x:alignment horizontal="left" vertical="center"/>
    </x:xf>
    <x:xf numFmtId="200" fontId="3" fillId="2" borderId="0" xfId="0" applyNumberFormat="1" applyFont="1" applyFill="1" applyBorder="1" applyAlignment="1">
      <x:alignment horizontal="left" vertical="center"/>
    </x:xf>
    <x:xf numFmtId="211" fontId="6" fillId="2" borderId="0" xfId="0" applyNumberFormat="1" applyFont="1" applyFill="1" applyBorder="1" applyAlignment="1">
      <x:alignment horizontal="right" vertical="center"/>
    </x:xf>
    <x:xf numFmtId="203" fontId="8" fillId="2" borderId="0" xfId="0" applyNumberFormat="1" applyFont="1" applyFill="1" applyBorder="1" applyAlignment="1">
      <x:alignment vertical="center"/>
    </x:xf>
    <x:xf numFmtId="203" fontId="8" fillId="2" borderId="0" xfId="0" applyNumberFormat="1" applyFont="1" applyFill="1" applyBorder="1" applyAlignment="1">
      <x:alignment horizontal="right" vertical="center"/>
    </x:xf>
    <x:xf numFmtId="200" fontId="8" fillId="2" borderId="0" xfId="0" applyNumberFormat="1" applyFont="1" applyFill="1" applyBorder="1" applyAlignment="1">
      <x:alignment horizontal="right" vertical="center"/>
    </x:xf>
    <x:xf numFmtId="200" fontId="7" fillId="2" borderId="0" xfId="0" applyNumberFormat="1" applyFont="1" applyFill="1" applyBorder="1" applyAlignment="1">
      <x:alignment horizontal="right" vertical="center"/>
    </x:xf>
    <x:xf numFmtId="200" fontId="5" fillId="2" borderId="0" xfId="0" applyNumberFormat="1" applyFont="1" applyFill="1" applyBorder="1" applyAlignment="1">
      <x:alignment horizontal="left" vertical="center"/>
    </x:xf>
    <x:xf numFmtId="200" fontId="1" fillId="3" borderId="0" xfId="0" applyNumberFormat="1" applyFont="1" applyFill="1" applyBorder="1" applyAlignment="1">
      <x:alignment horizontal="left" vertical="center"/>
    </x:xf>
    <x:xf numFmtId="200" fontId="6" fillId="3" borderId="0" xfId="0" applyNumberFormat="1" applyFont="1" applyFill="1" applyBorder="1" applyAlignment="1">
      <x:alignment horizontal="right" vertical="center"/>
    </x:xf>
    <x:xf numFmtId="200" fontId="4" fillId="3" borderId="0" xfId="0" applyNumberFormat="1" applyFont="1" applyFill="1" applyBorder="1" applyAlignment="1">
      <x:alignment horizontal="left" vertical="center"/>
    </x:xf>
    <x:xf numFmtId="200" fontId="4" fillId="3" borderId="0" xfId="0" applyNumberFormat="1" applyFont="1" applyFill="1" applyBorder="1" applyAlignment="1">
      <x:alignment horizontal="right" vertical="center"/>
    </x:xf>
    <x:xf numFmtId="200" fontId="4" fillId="3" borderId="0" xfId="0" applyNumberFormat="1" applyFont="1" applyFill="1" applyBorder="1" applyAlignment="1">
      <x:alignment horizontal="left" vertical="center" wrapText="1"/>
    </x:xf>
    <x:xf numFmtId="200" fontId="4" fillId="3" borderId="0" xfId="0" applyNumberFormat="1" applyFont="1" applyFill="1" applyBorder="1" applyAlignment="1">
      <x:alignment horizontal="right" vertical="center" wrapText="1"/>
    </x:xf>
    <x:xf numFmtId="203" fontId="7" fillId="2" borderId="0" xfId="0" applyNumberFormat="1" applyFont="1" applyFill="1" applyBorder="1" applyAlignment="1">
      <x:alignment vertical="center"/>
    </x:xf>
    <x:xf numFmtId="203" fontId="7" fillId="2" borderId="0" xfId="0" applyNumberFormat="1" applyFont="1" applyFill="1" applyBorder="1" applyAlignment="1">
      <x:alignment horizontal="right" vertical="center"/>
    </x:xf>
    <x:xf numFmtId="202" fontId="7" fillId="2" borderId="0" xfId="0" applyNumberFormat="1" applyFont="1" applyFill="1" applyBorder="1" applyAlignment="1">
      <x:alignment vertical="center"/>
    </x:xf>
    <x:xf numFmtId="202" fontId="7" fillId="2" borderId="0" xfId="0" applyNumberFormat="1" applyFont="1" applyFill="1" applyBorder="1" applyAlignment="1">
      <x:alignment horizontal="right" vertical="center"/>
    </x:xf>
    <x:xf numFmtId="202" fontId="8" fillId="2" borderId="0" xfId="0" applyNumberFormat="1" applyFont="1" applyFill="1" applyBorder="1" applyAlignment="1">
      <x:alignment vertical="center"/>
    </x:xf>
    <x:xf numFmtId="202" fontId="8" fillId="2" borderId="0" xfId="0" applyNumberFormat="1" applyFont="1" applyFill="1" applyBorder="1" applyAlignment="1">
      <x:alignment horizontal="right" vertical="center"/>
    </x:xf>
    <x:xf numFmtId="207" fontId="8" fillId="2" borderId="0" xfId="0" applyNumberFormat="1" applyFont="1" applyFill="1" applyBorder="1" applyAlignment="1">
      <x:alignment vertical="center"/>
    </x:xf>
    <x:xf numFmtId="207" fontId="8" fillId="2" borderId="0" xfId="0" applyNumberFormat="1" applyFont="1" applyFill="1" applyBorder="1" applyAlignment="1">
      <x:alignment horizontal="right" vertical="center"/>
    </x:xf>
    <x:xf numFmtId="213" fontId="7" fillId="2" borderId="0" xfId="0" applyNumberFormat="1" applyFont="1" applyFill="1" applyBorder="1" applyAlignment="1">
      <x:alignment vertical="center"/>
    </x:xf>
    <x:xf numFmtId="213" fontId="7" fillId="2" borderId="0" xfId="0" applyNumberFormat="1" applyFont="1" applyFill="1" applyBorder="1" applyAlignment="1">
      <x:alignment horizontal="right" vertical="center"/>
    </x:xf>
    <x:xf numFmtId="214" fontId="8" fillId="2" borderId="0" xfId="0" applyNumberFormat="1" applyFont="1" applyFill="1" applyBorder="1" applyAlignment="1">
      <x:alignment vertical="center"/>
    </x:xf>
    <x:xf numFmtId="214" fontId="8" fillId="2" borderId="0" xfId="0" applyNumberFormat="1" applyFont="1" applyFill="1" applyBorder="1" applyAlignment="1">
      <x:alignment horizontal="right" vertical="center"/>
    </x:xf>
    <x:xf numFmtId="212" fontId="8" fillId="2" borderId="0" xfId="0" applyNumberFormat="1" applyFont="1" applyFill="1" applyBorder="1" applyAlignment="1">
      <x:alignment vertical="center"/>
    </x:xf>
    <x:xf numFmtId="212" fontId="8" fillId="2" borderId="0" xfId="0" applyNumberFormat="1" applyFont="1" applyFill="1" applyBorder="1" applyAlignment="1">
      <x:alignment horizontal="right" vertical="center"/>
    </x:xf>
    <x:xf numFmtId="215" fontId="8" fillId="2" borderId="0" xfId="0" applyNumberFormat="1" applyFont="1" applyFill="1" applyBorder="1" applyAlignment="1">
      <x:alignment vertical="center"/>
    </x:xf>
    <x:xf numFmtId="215" fontId="8" fillId="2" borderId="0" xfId="0" applyNumberFormat="1" applyFont="1" applyFill="1" applyBorder="1" applyAlignment="1">
      <x:alignment horizontal="right" vertical="center"/>
    </x:xf>
    <x:xf numFmtId="215" fontId="7" fillId="2" borderId="0" xfId="0" applyNumberFormat="1" applyFont="1" applyFill="1" applyBorder="1" applyAlignment="1">
      <x:alignment vertical="center"/>
    </x:xf>
    <x:xf numFmtId="215" fontId="7" fillId="2" borderId="0" xfId="0" applyNumberFormat="1" applyFont="1" applyFill="1" applyBorder="1" applyAlignment="1">
      <x:alignment horizontal="right" vertical="center"/>
    </x:xf>
    <x:xf numFmtId="216" fontId="8" fillId="2" borderId="0" xfId="0" applyNumberFormat="1" applyFont="1" applyFill="1" applyBorder="1" applyAlignment="1">
      <x:alignment vertical="center"/>
    </x:xf>
    <x:xf numFmtId="216" fontId="8" fillId="2" borderId="0" xfId="0" applyNumberFormat="1" applyFont="1" applyFill="1" applyBorder="1" applyAlignment="1">
      <x:alignment horizontal="right" vertical="center"/>
    </x:xf>
    <x:xf numFmtId="215" fontId="8" fillId="3" borderId="0" xfId="0" applyNumberFormat="1" applyFont="1" applyFill="1" applyBorder="1" applyAlignment="1">
      <x:alignment horizontal="right" vertical="center"/>
    </x:xf>
    <x:xf numFmtId="213" fontId="6" fillId="3" borderId="0" xfId="0" applyNumberFormat="1" applyFont="1" applyFill="1" applyBorder="1" applyAlignment="1">
      <x:alignment horizontal="right" vertical="center"/>
    </x:xf>
    <x:xf numFmtId="213" fontId="7" fillId="3" borderId="0" xfId="0" applyNumberFormat="1" applyFont="1" applyFill="1" applyBorder="1" applyAlignment="1">
      <x:alignment horizontal="right" vertical="center"/>
    </x:xf>
    <x:xf numFmtId="215" fontId="7" fillId="3" borderId="0" xfId="0" applyNumberFormat="1" applyFont="1" applyFill="1" applyBorder="1" applyAlignment="1">
      <x:alignment horizontal="right" vertical="center"/>
    </x:xf>
    <x:xf numFmtId="216" fontId="8" fillId="3" borderId="0" xfId="0" applyNumberFormat="1" applyFont="1" applyFill="1" applyBorder="1" applyAlignment="1">
      <x:alignment horizontal="right" vertical="center"/>
    </x:xf>
    <x:xf numFmtId="215" fontId="4" fillId="3" borderId="0" xfId="0" applyNumberFormat="1" applyFont="1" applyFill="1" applyBorder="1" applyAlignment="1">
      <x:alignment horizontal="right" vertical="center"/>
    </x:xf>
    <x:xf numFmtId="213" fontId="4" fillId="3" borderId="0" xfId="0" applyNumberFormat="1" applyFont="1" applyFill="1" applyBorder="1" applyAlignment="1">
      <x:alignment horizontal="right" vertical="center"/>
    </x:xf>
    <x:xf numFmtId="216" fontId="4" fillId="3" borderId="0" xfId="0" applyNumberFormat="1" applyFont="1" applyFill="1" applyBorder="1" applyAlignment="1">
      <x:alignment horizontal="right" vertical="center"/>
    </x:xf>
    <x:xf numFmtId="215" fontId="4" fillId="3" borderId="0" xfId="0" applyNumberFormat="1" applyFont="1" applyFill="1" applyBorder="1" applyAlignment="1">
      <x:alignment horizontal="right" vertical="center" wrapText="1"/>
    </x:xf>
    <x:xf numFmtId="213" fontId="4" fillId="3" borderId="0" xfId="0" applyNumberFormat="1" applyFont="1" applyFill="1" applyBorder="1" applyAlignment="1">
      <x:alignment horizontal="right" vertical="center" wrapText="1"/>
    </x:xf>
    <x:xf numFmtId="216" fontId="4" fillId="3" borderId="0" xfId="0" applyNumberFormat="1" applyFont="1" applyFill="1" applyBorder="1" applyAlignment="1">
      <x:alignment horizontal="right" vertical="center" wrapText="1"/>
    </x:xf>
    <x:xf numFmtId="215" fontId="4" fillId="3" borderId="0" xfId="0" applyNumberFormat="1" applyFont="1" applyFill="1" applyBorder="1" applyAlignment="1">
      <x:alignment horizontal="center" vertical="center" wrapText="1"/>
    </x:xf>
    <x:xf numFmtId="213" fontId="4" fillId="3" borderId="0" xfId="0" applyNumberFormat="1" applyFont="1" applyFill="1" applyBorder="1" applyAlignment="1">
      <x:alignment horizontal="center" vertical="center" wrapText="1"/>
    </x:xf>
    <x:xf numFmtId="216" fontId="4" fillId="3" borderId="0" xfId="0" applyNumberFormat="1" applyFont="1" applyFill="1" applyBorder="1" applyAlignment="1">
      <x:alignment horizontal="center" vertical="center" wrapText="1"/>
    </x:xf>
    <x:xf numFmtId="201" fontId="1" fillId="4" borderId="0" xfId="0" applyNumberFormat="1" applyFont="1" applyFill="1" applyBorder="1" applyAlignment="1">
      <x:alignment horizontal="left" vertical="center"/>
    </x:xf>
    <x:xf numFmtId="201" fontId="5" fillId="4" borderId="0" xfId="0" applyNumberFormat="1" applyFont="1" applyFill="1" applyBorder="1" applyAlignment="1">
      <x:alignment horizontal="left" vertical="center"/>
    </x:xf>
    <x:xf numFmtId="201" fontId="1" fillId="4" borderId="0" xfId="0" applyNumberFormat="1" applyFont="1" applyFill="1" applyBorder="1" applyAlignment="1">
      <x:alignment horizontal="left" vertical="center" wrapText="1"/>
    </x:xf>
    <x:xf numFmtId="200" fontId="1"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1" fontId="2" fillId="2" borderId="0" xfId="0" applyNumberFormat="1" applyFont="1" applyFill="1" applyBorder="1" applyAlignment="1">
      <x:alignment horizontal="left" vertical="center" wrapText="1"/>
    </x:xf>
    <x:xf numFmtId="201" fontId="2" fillId="2" borderId="0" xfId="0" applyNumberFormat="1" applyFont="1" applyFill="1" applyBorder="1" applyAlignment="1">
      <x:alignment horizontal="left" vertical="center" wrapText="0"/>
    </x:xf>
    <x:xf numFmtId="200" fontId="1" fillId="2" borderId="0" xfId="0" applyNumberFormat="1" applyFont="1" applyFill="1" applyBorder="1" applyAlignment="1">
      <x:alignment vertical="center" wrapText="0"/>
    </x:xf>
    <x:xf numFmtId="217" fontId="6" fillId="2" borderId="0" xfId="0" applyNumberFormat="1" applyFont="1" applyFill="1" applyBorder="1" applyAlignment="1">
      <x:alignment vertical="center"/>
    </x:xf>
    <x:xf numFmtId="217" fontId="6" fillId="2" borderId="0" xfId="0" applyNumberFormat="1" applyFont="1" applyFill="1" applyBorder="1" applyAlignment="1">
      <x:alignment horizontal="right" vertical="center"/>
    </x:xf>
    <x:xf numFmtId="212" fontId="7" fillId="2" borderId="0" xfId="0" applyNumberFormat="1" applyFont="1" applyFill="1" applyBorder="1" applyAlignment="1">
      <x:alignment vertical="center"/>
    </x:xf>
    <x:xf numFmtId="212" fontId="7" fillId="2" borderId="0" xfId="0" applyNumberFormat="1" applyFont="1" applyFill="1" applyBorder="1" applyAlignment="1">
      <x:alignment horizontal="right" vertical="center"/>
    </x:xf>
    <x:xf numFmtId="203" fontId="6" fillId="2" borderId="0" xfId="0" applyNumberFormat="1" applyFont="1" applyFill="1" applyBorder="1" applyAlignment="1">
      <x:alignment horizontal="right" vertical="center" wrapText="1"/>
    </x:xf>
    <x:xf numFmtId="217" fontId="6" fillId="2" borderId="0" xfId="0" applyNumberFormat="1" applyFont="1" applyFill="1" applyBorder="1" applyAlignment="1">
      <x:alignment horizontal="right" vertical="center" wrapText="1"/>
    </x:xf>
    <x:xf numFmtId="213" fontId="6" fillId="2" borderId="0" xfId="0" applyNumberFormat="1" applyFont="1" applyFill="1" applyBorder="1" applyAlignment="1">
      <x:alignment horizontal="right" vertical="center" wrapText="1"/>
    </x:xf>
    <x:xf numFmtId="212" fontId="7" fillId="2" borderId="0" xfId="0" applyNumberFormat="1" applyFont="1" applyFill="1" applyBorder="1" applyAlignment="1">
      <x:alignment horizontal="right" vertical="center" wrapText="1"/>
    </x:xf>
    <x:xf numFmtId="203" fontId="7" fillId="2" borderId="0" xfId="0" applyNumberFormat="1" applyFont="1" applyFill="1" applyBorder="1" applyAlignment="1">
      <x:alignment horizontal="right" vertical="center" wrapText="1"/>
    </x:xf>
    <x:xf numFmtId="206" fontId="8" fillId="2" borderId="0" xfId="0" applyNumberFormat="1" applyFont="1" applyFill="1" applyBorder="1" applyAlignment="1">
      <x:alignment horizontal="right" vertical="center" wrapText="1"/>
    </x:xf>
    <x:xf numFmtId="203" fontId="8" fillId="2" borderId="0" xfId="0" applyNumberFormat="1" applyFont="1" applyFill="1" applyBorder="1" applyAlignment="1">
      <x:alignment horizontal="right" vertical="center" wrapText="1"/>
    </x:xf>
    <x:xf numFmtId="200" fontId="1" fillId="2" borderId="0" xfId="0" applyNumberFormat="1" applyFont="1" applyFill="1" applyBorder="1" applyAlignment="1">
      <x:alignment vertical="center" wrapText="1"/>
    </x:xf>
    <x:xf numFmtId="206" fontId="1" fillId="2" borderId="0" xfId="0" applyNumberFormat="1" applyFont="1" applyFill="1" applyBorder="1" applyAlignment="1">
      <x:alignment horizontal="left" vertical="center"/>
    </x:xf>
    <x:xf numFmtId="207" fontId="7" fillId="2" borderId="0" xfId="0" applyNumberFormat="1" applyFont="1" applyFill="1" applyBorder="1" applyAlignment="1">
      <x:alignment vertical="center"/>
    </x:xf>
    <x:xf numFmtId="207" fontId="7" fillId="2" borderId="0" xfId="0" applyNumberFormat="1" applyFont="1" applyFill="1" applyBorder="1" applyAlignment="1">
      <x:alignment horizontal="right" vertical="center"/>
    </x:xf>
    <x:xf numFmtId="201" fontId="8" fillId="2" borderId="0" xfId="0" applyNumberFormat="1" applyFont="1" applyFill="1" applyBorder="1" applyAlignment="1">
      <x:alignment vertical="center"/>
    </x:xf>
    <x:xf numFmtId="201" fontId="8" fillId="2" borderId="0" xfId="0" applyNumberFormat="1" applyFont="1" applyFill="1" applyBorder="1" applyAlignment="1">
      <x:alignment horizontal="right" vertical="center"/>
    </x:xf>
    <x:xf numFmtId="207" fontId="1" fillId="2" borderId="0" xfId="0" applyNumberFormat="1" applyFont="1" applyFill="1" applyBorder="1" applyAlignment="1">
      <x:alignment horizontal="left" vertical="center"/>
    </x:xf>
    <x:xf numFmtId="201" fontId="2" fillId="2" borderId="0" xfId="0" applyNumberFormat="1" applyFont="1" applyFill="1" applyBorder="1" applyAlignment="1">
      <x:alignment horizontal="left" vertical="center"/>
    </x:xf>
    <x:xf numFmtId="200" fontId="9" fillId="2" borderId="0" xfId="0" applyNumberFormat="1" applyFont="1" applyFill="1" applyBorder="1" applyAlignment="1">
      <x:alignment vertical="center"/>
    </x:xf>
    <x:xf numFmtId="200" fontId="9" fillId="2" borderId="0" xfId="0" applyNumberFormat="1" applyFont="1" applyFill="1" applyBorder="1" applyAlignment="1">
      <x:alignment vertical="center" wrapText="1"/>
    </x:xf>
    <x:xf numFmtId="200" fontId="9" fillId="2" borderId="0" xfId="0" applyNumberFormat="1" applyFont="1" applyFill="1" applyBorder="1" applyAlignment="1">
      <x:alignment horizontal="left" vertical="center" wrapText="1"/>
    </x:xf>
    <x:xf numFmtId="200" fontId="9" fillId="2" borderId="0" xfId="0" applyNumberFormat="1" applyFont="1" applyFill="1" applyBorder="1" applyAlignment="1">
      <x:alignment horizontal="left" vertical="center" wrapText="0"/>
    </x:xf>
    <x:xf numFmtId="218" fontId="1" fillId="2" borderId="0" xfId="0" applyNumberFormat="1" applyFont="1" applyFill="1" applyBorder="1" applyAlignment="1">
      <x:alignment vertical="center"/>
    </x:xf>
    <x:xf numFmtId="211" fontId="1" fillId="2" borderId="0" xfId="0" applyNumberFormat="1" applyFont="1" applyFill="1" applyBorder="1" applyAlignment="1">
      <x:alignment vertical="center"/>
    </x:xf>
    <x:xf numFmtId="200" fontId="1" fillId="5" borderId="0" xfId="0" applyNumberFormat="1" applyFont="1" applyFill="1" applyBorder="1" applyAlignment="1">
      <x:alignment vertical="center"/>
    </x:xf>
    <x:xf numFmtId="218" fontId="1"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218" fontId="4" fillId="5" borderId="0" xfId="0" applyNumberFormat="1" applyFont="1" applyFill="1" applyBorder="1" applyAlignment="1">
      <x:alignment vertical="center"/>
    </x:xf>
    <x:xf numFmtId="200" fontId="10" fillId="2" borderId="0" xfId="0" applyNumberFormat="1" applyFont="1" applyFill="1" applyBorder="1" applyAlignment="1">
      <x:alignment vertical="center"/>
    </x:xf>
    <x:xf numFmtId="200" fontId="10" fillId="2" borderId="0" xfId="0" applyNumberFormat="1" applyFont="1" applyFill="1" applyBorder="1" applyAlignment="1">
      <x:alignment vertical="center" wrapText="1"/>
    </x:xf>
    <x:xf numFmtId="200" fontId="10" fillId="2" borderId="0" xfId="0" applyNumberFormat="1" applyFont="1" applyFill="1" applyBorder="1" applyAlignment="1">
      <x:alignment horizontal="left" vertical="center" wrapText="1"/>
    </x:xf>
    <x:xf numFmtId="200" fontId="10" fillId="2" borderId="0" xfId="0" applyNumberFormat="1" applyFont="1" applyFill="1" applyBorder="1" applyAlignment="1">
      <x:alignment horizontal="left" vertical="center" wrapText="0"/>
    </x:xf>
    <x:xf numFmtId="200" fontId="4" fillId="4" borderId="0" xfId="0" applyNumberFormat="1" applyFont="1" applyFill="1" applyBorder="1" applyAlignment="1">
      <x:alignment horizontal="left" vertical="center" wrapText="0"/>
    </x:xf>
    <x:xf numFmtId="200" fontId="1" fillId="2" borderId="0" xfId="0" applyNumberFormat="1" applyFont="1" applyFill="1" applyBorder="1" applyAlignment="1">
      <x:alignment horizontal="right" vertical="center"/>
    </x:xf>
    <x:xf numFmtId="219" fontId="4" fillId="3" borderId="0" xfId="0" applyNumberFormat="1" applyFont="1" applyFill="1" applyBorder="1" applyAlignment="1">
      <x:alignment horizontal="center" vertical="center" wrapText="1"/>
    </x:xf>
    <x:xf numFmtId="211" fontId="1" fillId="3" borderId="0" xfId="0" applyNumberFormat="1" applyFont="1" applyFill="1" applyBorder="1" applyAlignment="1">
      <x:alignment horizontal="right" vertical="center"/>
    </x:xf>
    <x:xf numFmtId="211" fontId="4" fillId="3" borderId="0" xfId="0" applyNumberFormat="1" applyFont="1" applyFill="1" applyBorder="1" applyAlignment="1">
      <x:alignment horizontal="right" vertical="center"/>
    </x:xf>
    <x:xf numFmtId="218" fontId="1" fillId="2" borderId="0" xfId="0" applyNumberFormat="1" applyFont="1" applyFill="1" applyBorder="1" applyAlignment="1">
      <x:alignment horizontal="right" vertical="center"/>
    </x:xf>
    <x:xf numFmtId="218" fontId="1" fillId="2" borderId="1" xfId="0" applyNumberFormat="1" applyFont="1" applyFill="1" applyBorder="1" applyAlignment="1">
      <x:alignment horizontal="right" vertical="center"/>
    </x:xf>
    <x:xf numFmtId="220" fontId="1" fillId="2" borderId="0" xfId="0" applyNumberFormat="1" applyFont="1" applyFill="1" applyBorder="1" applyAlignment="1">
      <x:alignment horizontal="right" vertical="center"/>
    </x:xf>
    <x:xf numFmtId="208" fontId="6" fillId="2" borderId="0" xfId="0" applyNumberFormat="1" applyFont="1" applyFill="1" applyBorder="1" applyAlignment="1">
      <x:alignment horizontal="right" vertical="center" wrapText="1"/>
    </x:xf>
    <x:xf numFmtId="208" fontId="7" fillId="2" borderId="0" xfId="0" applyNumberFormat="1" applyFont="1" applyFill="1" applyBorder="1" applyAlignment="1">
      <x:alignment horizontal="right" vertical="center" wrapText="1"/>
    </x:xf>
    <x:xf numFmtId="208" fontId="8" fillId="2" borderId="0" xfId="0" applyNumberFormat="1" applyFont="1" applyFill="1" applyBorder="1" applyAlignment="1">
      <x:alignment horizontal="right" vertical="center" wrapText="1"/>
    </x:xf>
    <x:xf numFmtId="212" fontId="6" fillId="2" borderId="0" xfId="0" applyNumberFormat="1" applyFont="1" applyFill="1" applyBorder="1" applyAlignment="1">
      <x:alignment horizontal="right" vertical="center" wrapText="1"/>
    </x:xf>
    <x:xf numFmtId="211" fontId="8" fillId="2" borderId="0" xfId="0" applyNumberFormat="1" applyFont="1" applyFill="1" applyBorder="1" applyAlignment="1">
      <x:alignment horizontal="right" vertical="center"/>
    </x:xf>
    <x:xf numFmtId="219" fontId="1" fillId="2" borderId="0" xfId="0" applyNumberFormat="1" applyFont="1" applyFill="1" applyBorder="1" applyAlignment="1">
      <x:alignment vertical="center"/>
    </x:xf>
    <x:xf numFmtId="206" fontId="11" fillId="2" borderId="0" xfId="0" applyNumberFormat="1" applyFont="1" applyFill="1" applyBorder="1" applyAlignment="1">
      <x:alignment horizontal="right" vertical="center"/>
    </x:xf>
    <x:xf numFmtId="201" fontId="11" fillId="2" borderId="0" xfId="0" applyNumberFormat="1" applyFont="1" applyFill="1" applyBorder="1" applyAlignment="1">
      <x:alignment horizontal="right" vertical="center"/>
    </x:xf>
    <x:xf numFmtId="221" fontId="11" fillId="2" borderId="0" xfId="0" applyNumberFormat="1" applyFont="1" applyFill="1" applyBorder="1" applyAlignment="1">
      <x:alignment horizontal="right" vertical="center"/>
    </x:xf>
    <x:xf numFmtId="221" fontId="1" fillId="2"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712d70e886406c" /><Relationship Type="http://schemas.openxmlformats.org/officeDocument/2006/relationships/theme" Target="/xl/theme/theme1.xml" Id="Rb592b2c2e13a45c9" /><Relationship Type="http://schemas.openxmlformats.org/officeDocument/2006/relationships/sharedStrings" Target="/xl/sharedStrings.xml" Id="R57cdc1b865014437" /><Relationship Type="http://schemas.openxmlformats.org/officeDocument/2006/relationships/worksheet" Target="/xl/worksheets/sheet1.xml" Id="R9739bd6759a046f2" /><Relationship Type="http://schemas.openxmlformats.org/officeDocument/2006/relationships/worksheet" Target="/xl/worksheets/sheet2.xml" Id="R141123e760d34fd2" /><Relationship Type="http://schemas.openxmlformats.org/officeDocument/2006/relationships/worksheet" Target="/xl/worksheets/sheet3.xml" Id="R7799494e8710444f" /><Relationship Type="http://schemas.openxmlformats.org/officeDocument/2006/relationships/worksheet" Target="/xl/worksheets/sheet4.xml" Id="R16f6dc11b2824c20" /><Relationship Type="http://schemas.openxmlformats.org/officeDocument/2006/relationships/worksheet" Target="/xl/worksheets/sheet5.xml" Id="Rf8581a7260564698" /><Relationship Type="http://schemas.openxmlformats.org/officeDocument/2006/relationships/worksheet" Target="/xl/worksheets/sheet6.xml" Id="R10543804d9a2442a" /><Relationship Type="http://schemas.openxmlformats.org/officeDocument/2006/relationships/worksheet" Target="/xl/worksheets/sheet7.xml" Id="R10d10f299aeb4afa" /><Relationship Type="http://schemas.openxmlformats.org/officeDocument/2006/relationships/worksheet" Target="/xl/worksheets/sheet8.xml" Id="Ra8a775a8ee1f4e05" /><Relationship Type="http://schemas.openxmlformats.org/officeDocument/2006/relationships/worksheet" Target="/xl/worksheets/sheet9.xml" Id="Rfe161f05e93a46a9" /><Relationship Type="http://schemas.openxmlformats.org/officeDocument/2006/relationships/worksheet" Target="/xl/worksheets/sheet10.xml" Id="R34a89b0398dd4c01" /><Relationship Type="http://schemas.openxmlformats.org/officeDocument/2006/relationships/worksheet" Target="/xl/worksheets/sheet11.xml" Id="R45f2c6671c7444bb" /><Relationship Type="http://schemas.openxmlformats.org/officeDocument/2006/relationships/worksheet" Target="/xl/worksheets/sheet12.xml" Id="R9dc7c82ae4c448a8" /><Relationship Type="http://schemas.openxmlformats.org/officeDocument/2006/relationships/worksheet" Target="/xl/worksheets/sheet13.xml" Id="R9693955cb2d74acd" /><Relationship Type="http://schemas.openxmlformats.org/officeDocument/2006/relationships/worksheet" Target="/xl/worksheets/sheet14.xml" Id="R147fba1a866d4675" /></Relationships>
</file>

<file path=xl/drawings/_rels/drawing1.xml.rels>&#65279;<?xml version="1.0" encoding="utf-8"?><Relationships xmlns="http://schemas.openxmlformats.org/package/2006/relationships"><Relationship Type="http://schemas.openxmlformats.org/officeDocument/2006/relationships/chart" Target="/xl/drawings/charts/chart1.xml" Id="Rb96e23e18b24494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Revenue forecast</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Revenue</c:v>
          </c:tx>
          <c:marker>
            <c:symbol val="none"/>
          </c:marker>
          <c:cat>
            <c:strRef>
              <c:f>'Forecast'!$B$37:$B$46</c:f>
              <c:strCache>
                <c:ptCount val="0"/>
              </c:strCache>
            </c:strRef>
          </c:cat>
          <c:val>
            <c:numRef>
              <c:f>'Forecast'!$C$37:$C$46</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35</xdr:row>
      <xdr:rowOff>0</xdr:rowOff>
    </xdr:from>
    <xdr:to>
      <xdr:col>12</xdr:col>
      <xdr:colOff>0</xdr:colOff>
      <xdr:row>51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96e23e18b244948"/>
        </a:graphicData>
      </a:graphic>
    </xdr:graphicFrame>
    <xdr:clientData/>
  </xdr:twoCellAnchor>
</xdr:wsDr>
</file>

<file path=xl/theme/theme1.xml><?xml version="1.0" encoding="utf-8"?>
<a:theme xmlns:a="http://schemas.openxmlformats.org/drawingml/2006/main" name="Research">
  <a:themeElements>
    <a:clrScheme name="Research">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Research">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36e047d8377047e8" /></Relationships>
</file>

<file path=xl/worksheets/sheet1.xml><?xml version="1.0" encoding="utf-8"?>
<x:worksheet xmlns:x="http://schemas.openxmlformats.org/spreadsheetml/2006/main">
  <x:sheetPr>
    <x:tabColor rgb="FF19384D"/>
  </x:sheetPr>
  <x:sheetViews>
    <x:sheetView showGridLines="0" workbookViewId="0"/>
  </x:sheetViews>
  <x:sheetFormatPr defaultRowHeight="15"/>
  <x:cols>
    <x:col min="1" max="1" width="3" hidden="0" customWidth="1"/>
    <x:col min="2" max="2" width="43" hidden="0" customWidth="1"/>
    <x:col min="3" max="3" width="20" hidden="0" customWidth="1"/>
    <x:col min="4" max="4" width="4" hidden="0" customWidth="1"/>
    <x:col min="5" max="5" width="43" hidden="0" customWidth="1"/>
    <x:col min="6" max="6" width="20"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23" customHeight="1">
      <x:c r="A1" s="4"/>
      <x:c r="B1" s="4"/>
      <x:c r="C1" s="4"/>
      <x:c r="D1" s="4"/>
      <x:c r="E1" s="4"/>
      <x:c r="F1" s="4"/>
      <x:c r="G1" s="4"/>
      <x:c r="H1" s="4"/>
      <x:c r="I1" s="4"/>
      <x:c r="J1"/>
      <x:c r="K1"/>
      <x:c r="L1"/>
      <x:c r="M1"/>
    </x:row>
    <x:row r="2" ht="35" customHeight="1">
      <x:c r="A2" s="4"/>
      <x:c r="B2" s="202" t="str">
        <x:v>CAVA: Discounted Cash Flow Valuation</x:v>
      </x:c>
      <x:c r="C2" s="202"/>
      <x:c r="D2" s="202"/>
      <x:c r="E2" s="202"/>
      <x:c r="F2" s="202"/>
      <x:c r="G2" s="4"/>
      <x:c r="H2" s="4"/>
      <x:c r="I2" s="4"/>
      <x:c r="J2"/>
      <x:c r="K2"/>
      <x:c r="L2"/>
      <x:c r="M2"/>
    </x:row>
    <x:row r="3" ht="28" customHeight="1">
      <x:c r="A3" s="4"/>
      <x:c r="B3" s="26" t="str">
        <x:v>Valuation at the 5 August 2026 close. USD millions except per-share data.</x:v>
      </x:c>
      <x:c r="C3" s="26"/>
      <x:c r="D3" s="26"/>
      <x:c r="E3" s="26"/>
      <x:c r="F3" s="26"/>
      <x:c r="G3" s="4"/>
      <x:c r="H3" s="4"/>
      <x:c r="I3" s="4"/>
      <x:c r="J3"/>
      <x:c r="K3"/>
      <x:c r="L3"/>
      <x:c r="M3"/>
    </x:row>
    <x:row r="4" ht="23" customHeight="1">
      <x:c r="A4" s="4"/>
      <x:c r="B4" s="4"/>
      <x:c r="C4" s="4"/>
      <x:c r="D4" s="4"/>
      <x:c r="E4" s="4"/>
      <x:c r="F4" s="4"/>
      <x:c r="G4" s="4"/>
      <x:c r="H4" s="4"/>
      <x:c r="I4" s="4"/>
      <x:c r="J4"/>
      <x:c r="K4"/>
      <x:c r="L4"/>
      <x:c r="M4"/>
    </x:row>
    <x:row r="5" ht="25" customHeight="1">
      <x:c r="A5" s="4"/>
      <x:c r="B5" s="58" t="str">
        <x:v>Valuation</x:v>
      </x:c>
      <x:c r="C5" s="58"/>
      <x:c r="D5" s="4"/>
      <x:c r="E5" s="58" t="str">
        <x:v>Forecast and assumptions</x:v>
      </x:c>
      <x:c r="F5" s="58"/>
      <x:c r="G5" s="4"/>
      <x:c r="H5" s="4"/>
      <x:c r="I5" s="4"/>
      <x:c r="J5"/>
      <x:c r="K5"/>
      <x:c r="L5"/>
      <x:c r="M5"/>
    </x:row>
    <x:row r="6" ht="23" customHeight="1">
      <x:c r="A6" s="4"/>
      <x:c r="B6" s="4" t="str">
        <x:v>Reference share price</x:v>
      </x:c>
      <x:c r="C6" s="203" t="n">
        <x:f>'Assumptions'!C6</x:f>
        <x:v>66.17</x:v>
      </x:c>
      <x:c r="D6" s="4"/>
      <x:c r="E6" s="4" t="str">
        <x:v>WACC</x:v>
      </x:c>
      <x:c r="F6" s="67" t="n">
        <x:f>'WACC'!C21</x:f>
        <x:v>0.0998095</x:v>
      </x:c>
      <x:c r="G6" s="4"/>
      <x:c r="H6" s="4"/>
      <x:c r="I6" s="4"/>
      <x:c r="J6"/>
      <x:c r="K6"/>
      <x:c r="L6"/>
      <x:c r="M6"/>
    </x:row>
    <x:row r="7" ht="23" customHeight="1">
      <x:c r="A7" s="4"/>
      <x:c r="B7" s="207" t="str">
        <x:v>Base value / share</x:v>
      </x:c>
      <x:c r="C7" s="208" t="n">
        <x:f>'DCF'!C7</x:f>
        <x:v>30.69828496042651</x:v>
      </x:c>
      <x:c r="D7" s="4"/>
      <x:c r="E7" s="4" t="str">
        <x:v>Perpetual growth</x:v>
      </x:c>
      <x:c r="F7" s="67" t="n">
        <x:f>'Assumptions'!C22</x:f>
        <x:v>0.03</x:v>
      </x:c>
      <x:c r="G7" s="4"/>
      <x:c r="H7" s="4"/>
      <x:c r="I7" s="4"/>
      <x:c r="J7"/>
      <x:c r="K7"/>
      <x:c r="L7"/>
      <x:c r="M7"/>
    </x:row>
    <x:row r="8" ht="23" customHeight="1">
      <x:c r="A8" s="4"/>
      <x:c r="B8" s="4" t="str">
        <x:v>Downside value / share</x:v>
      </x:c>
      <x:c r="C8" s="203" t="n">
        <x:f>'DCF'!C8</x:f>
        <x:v>14.553074731666955</x:v>
      </x:c>
      <x:c r="D8" s="4"/>
      <x:c r="E8" s="4" t="str">
        <x:v>Terminal value / enterprise value</x:v>
      </x:c>
      <x:c r="F8" s="204" t="n">
        <x:f>'DCF'!C17</x:f>
        <x:v>0.7365371107817082</x:v>
      </x:c>
      <x:c r="G8" s="4"/>
      <x:c r="H8" s="4"/>
      <x:c r="I8" s="4"/>
      <x:c r="J8"/>
      <x:c r="K8"/>
      <x:c r="L8"/>
      <x:c r="M8"/>
    </x:row>
    <x:row r="9" ht="23" customHeight="1">
      <x:c r="A9" s="4"/>
      <x:c r="B9" s="4" t="str">
        <x:v>Upside value / share</x:v>
      </x:c>
      <x:c r="C9" s="203" t="n">
        <x:f>'DCF'!C9</x:f>
        <x:v>47.92315674721878</x:v>
      </x:c>
      <x:c r="D9" s="4"/>
      <x:c r="E9" s="4" t="str">
        <x:v>Final-year revenue</x:v>
      </x:c>
      <x:c r="F9" s="4" t="n">
        <x:f>'Scenarios'!L14</x:f>
        <x:v>5063.207460442486</x:v>
      </x:c>
      <x:c r="G9" s="4"/>
      <x:c r="H9" s="4"/>
      <x:c r="I9" s="4"/>
      <x:c r="J9"/>
      <x:c r="K9"/>
      <x:c r="L9"/>
      <x:c r="M9"/>
    </x:row>
    <x:row r="10" ht="23" customHeight="1">
      <x:c r="A10" s="4"/>
      <x:c r="B10" s="4" t="str">
        <x:v>Base upside / (downside)</x:v>
      </x:c>
      <x:c r="C10" s="204" t="n">
        <x:f>'DCF'!C10</x:f>
        <x:v>-0.5360694429435318</x:v>
      </x:c>
      <x:c r="D10" s="4"/>
      <x:c r="E10" s="4" t="str">
        <x:v>Final-year EBIT margin</x:v>
      </x:c>
      <x:c r="F10" s="204" t="n">
        <x:f>'Scenarios'!L22</x:f>
        <x:v>0.12676361842358833</x:v>
      </x:c>
      <x:c r="G10" s="4"/>
      <x:c r="H10" s="4"/>
      <x:c r="I10" s="4"/>
      <x:c r="J10"/>
      <x:c r="K10"/>
      <x:c r="L10"/>
      <x:c r="M10"/>
    </x:row>
    <x:row r="11" ht="23" customHeight="1">
      <x:c r="A11" s="4"/>
      <x:c r="B11" s="4" t="str">
        <x:v>Exit-multiple comparison</x:v>
      </x:c>
      <x:c r="C11" s="203" t="n">
        <x:f>'DCF'!C12</x:f>
        <x:v>30.69828496011488</x:v>
      </x:c>
      <x:c r="D11" s="4"/>
      <x:c r="E11" s="4" t="str">
        <x:v>Final-year FCFF</x:v>
      </x:c>
      <x:c r="F11" s="4" t="n">
        <x:f>'Scenarios'!L31</x:f>
        <x:v>469.5198778604372</x:v>
      </x:c>
      <x:c r="G11" s="4"/>
      <x:c r="H11" s="4"/>
      <x:c r="I11" s="4"/>
      <x:c r="J11"/>
      <x:c r="K11"/>
      <x:c r="L11"/>
      <x:c r="M11"/>
    </x:row>
    <x:row r="12" ht="23" customHeight="1">
      <x:c r="A12" s="4"/>
      <x:c r="B12" s="4"/>
      <x:c r="C12" s="4"/>
      <x:c r="D12" s="4"/>
      <x:c r="E12" s="4"/>
      <x:c r="F12" s="4"/>
      <x:c r="G12" s="4"/>
      <x:c r="H12" s="4"/>
      <x:c r="I12" s="4"/>
      <x:c r="J12"/>
      <x:c r="K12"/>
      <x:c r="L12"/>
      <x:c r="M12"/>
    </x:row>
    <x:row r="13" ht="23" customHeight="1">
      <x:c r="A13" s="4"/>
      <x:c r="B13" s="4"/>
      <x:c r="C13" s="4"/>
      <x:c r="D13" s="4"/>
      <x:c r="E13" s="4"/>
      <x:c r="F13" s="4"/>
      <x:c r="G13" s="4"/>
      <x:c r="H13" s="4"/>
      <x:c r="I13" s="4"/>
      <x:c r="J13"/>
      <x:c r="K13"/>
      <x:c r="L13"/>
      <x:c r="M13"/>
    </x:row>
    <x:row r="14" ht="25" customHeight="1">
      <x:c r="A14" s="4"/>
      <x:c r="B14" s="58" t="str">
        <x:v>Valuation conclusion</x:v>
      </x:c>
      <x:c r="C14" s="58"/>
      <x:c r="D14" s="58"/>
      <x:c r="E14" s="58"/>
      <x:c r="F14" s="58"/>
      <x:c r="G14" s="4"/>
      <x:c r="H14" s="4"/>
      <x:c r="I14" s="4"/>
      <x:c r="J14"/>
      <x:c r="K14"/>
      <x:c r="L14"/>
      <x:c r="M14"/>
    </x:row>
    <x:row r="15" ht="24" customHeight="1">
      <x:c r="A15" s="4"/>
      <x:c r="B15" s="212" t="str">
        <x:v>Substantial restaurant expansion still produces a perpetual-growth value below the reference price. Store productivity,</x:v>
      </x:c>
      <x:c r="C15" s="212"/>
      <x:c r="D15" s="212"/>
      <x:c r="E15" s="212"/>
      <x:c r="F15" s="212"/>
      <x:c r="G15" s="4"/>
      <x:c r="H15" s="4"/>
      <x:c r="I15" s="4"/>
      <x:c r="J15"/>
      <x:c r="K15"/>
      <x:c r="L15"/>
      <x:c r="M15"/>
    </x:row>
    <x:row r="16" ht="24" customHeight="1">
      <x:c r="A16" s="4"/>
      <x:c r="B16" s="212" t="str">
        <x:v>construction spending and operating margins determine whether the expansion creates shareholder value.</x:v>
      </x:c>
      <x:c r="C16" s="212"/>
      <x:c r="D16" s="212"/>
      <x:c r="E16" s="212"/>
      <x:c r="F16" s="212"/>
      <x:c r="G16" s="4"/>
      <x:c r="H16" s="4"/>
      <x:c r="I16" s="4"/>
      <x:c r="J16"/>
      <x:c r="K16"/>
      <x:c r="L16"/>
      <x:c r="M16"/>
    </x:row>
    <x:row r="17" ht="26" customHeight="1">
      <x:c r="A17" s="4"/>
      <x:c r="B17" s="212"/>
      <x:c r="C17" s="212"/>
      <x:c r="D17" s="212"/>
      <x:c r="E17" s="212"/>
      <x:c r="F17" s="212"/>
      <x:c r="G17" s="4"/>
      <x:c r="H17" s="4"/>
      <x:c r="I17" s="4"/>
      <x:c r="J17"/>
      <x:c r="K17"/>
      <x:c r="L17"/>
      <x:c r="M17"/>
    </x:row>
    <x:row r="18" ht="23" customHeight="1">
      <x:c r="A18" s="4"/>
      <x:c r="B18" s="4"/>
      <x:c r="C18" s="4"/>
      <x:c r="D18" s="4"/>
      <x:c r="E18" s="4"/>
      <x:c r="F18" s="4"/>
      <x:c r="G18" s="4"/>
      <x:c r="H18" s="4"/>
      <x:c r="I18" s="4"/>
      <x:c r="J18"/>
      <x:c r="K18"/>
      <x:c r="L18"/>
      <x:c r="M18"/>
    </x:row>
    <x:row r="19" ht="23" customHeight="1">
      <x:c r="A19" s="4"/>
      <x:c r="B19" s="4"/>
      <x:c r="C19" s="4"/>
      <x:c r="D19" s="4"/>
      <x:c r="E19" s="4"/>
      <x:c r="F19" s="4"/>
      <x:c r="G19" s="4"/>
      <x:c r="H19" s="4"/>
      <x:c r="I19" s="4"/>
      <x:c r="J19"/>
      <x:c r="K19"/>
      <x:c r="L19"/>
      <x:c r="M19"/>
    </x:row>
    <x:row r="20" ht="25" customHeight="1">
      <x:c r="A20" s="4"/>
      <x:c r="B20" s="58" t="str">
        <x:v>Material assumptions</x:v>
      </x:c>
      <x:c r="C20" s="58"/>
      <x:c r="D20" s="58"/>
      <x:c r="E20" s="58"/>
      <x:c r="F20" s="58"/>
      <x:c r="G20" s="4"/>
      <x:c r="H20" s="4"/>
      <x:c r="I20" s="4"/>
      <x:c r="J20"/>
      <x:c r="K20"/>
      <x:c r="L20"/>
      <x:c r="M20"/>
    </x:row>
    <x:row r="21" ht="24" customHeight="1">
      <x:c r="A21" s="4"/>
      <x:c r="B21" s="26" t="str">
        <x:v>New stores reach 45% of mature sales in the opening year and 90% in the next. Construction costs rise 3% annually in the base</x:v>
      </x:c>
      <x:c r="C21" s="26"/>
      <x:c r="D21" s="26"/>
      <x:c r="E21" s="26"/>
      <x:c r="F21" s="26"/>
      <x:c r="G21" s="4"/>
      <x:c r="H21" s="4"/>
      <x:c r="I21" s="4"/>
      <x:c r="J21"/>
      <x:c r="K21"/>
      <x:c r="L21"/>
      <x:c r="M21"/>
    </x:row>
    <x:row r="22" ht="24" customHeight="1">
      <x:c r="A22" s="4"/>
      <x:c r="B22" s="26" t="str">
        <x:v>case. Terminal ROIC is 20%. Company risk beta and the 50/50 industry weighting are analyst assumptions.</x:v>
      </x:c>
      <x:c r="C22" s="26"/>
      <x:c r="D22" s="26"/>
      <x:c r="E22" s="26"/>
      <x:c r="F22" s="26"/>
      <x:c r="G22" s="4"/>
      <x:c r="H22" s="4"/>
      <x:c r="I22" s="4"/>
      <x:c r="J22"/>
      <x:c r="K22"/>
      <x:c r="L22"/>
      <x:c r="M22"/>
    </x:row>
    <x:row r="23" ht="25" customHeight="1">
      <x:c r="A23" s="4"/>
      <x:c r="B23" s="26"/>
      <x:c r="C23" s="26"/>
      <x:c r="D23" s="26"/>
      <x:c r="E23" s="26"/>
      <x:c r="F23" s="26"/>
      <x:c r="G23" s="4"/>
      <x:c r="H23" s="4"/>
      <x:c r="I23" s="4"/>
      <x:c r="J23"/>
      <x:c r="K23"/>
      <x:c r="L23"/>
      <x:c r="M23"/>
    </x:row>
    <x:row r="24" ht="25" customHeight="1">
      <x:c r="A24" s="4"/>
      <x:c r="B24" s="26"/>
      <x:c r="C24" s="26"/>
      <x:c r="D24" s="26"/>
      <x:c r="E24" s="26"/>
      <x:c r="F24" s="26"/>
      <x:c r="G24" s="4"/>
      <x:c r="H24" s="4"/>
      <x:c r="I24" s="4"/>
      <x:c r="J24"/>
      <x:c r="K24"/>
      <x:c r="L24"/>
      <x:c r="M24"/>
    </x:row>
    <x:row r="25" ht="23" customHeight="1">
      <x:c r="A25" s="4"/>
      <x:c r="B25" s="4"/>
      <x:c r="C25" s="4"/>
      <x:c r="D25" s="4"/>
      <x:c r="E25" s="4"/>
      <x:c r="F25" s="4"/>
      <x:c r="G25" s="4"/>
      <x:c r="H25" s="4"/>
      <x:c r="I25" s="4"/>
      <x:c r="J25"/>
      <x:c r="K25"/>
      <x:c r="L25"/>
      <x:c r="M25"/>
    </x:row>
    <x:row r="26" ht="23" customHeight="1">
      <x:c r="A26" s="4"/>
      <x:c r="B26" s="4"/>
      <x:c r="C26" s="4"/>
      <x:c r="D26" s="4"/>
      <x:c r="E26" s="4"/>
      <x:c r="F26" s="4"/>
      <x:c r="G26" s="4"/>
      <x:c r="H26" s="4"/>
      <x:c r="I26" s="4"/>
      <x:c r="J26"/>
      <x:c r="K26"/>
      <x:c r="L26"/>
      <x:c r="M26"/>
    </x:row>
    <x:row r="27" ht="23" customHeight="1">
      <x:c r="A27" s="4"/>
      <x:c r="B27" s="4"/>
      <x:c r="C27" s="4"/>
      <x:c r="D27" s="4"/>
      <x:c r="E27" s="4"/>
      <x:c r="F27" s="4"/>
      <x:c r="G27" s="4"/>
      <x:c r="H27" s="4"/>
      <x:c r="I27" s="4"/>
      <x:c r="J27"/>
      <x:c r="K27"/>
      <x:c r="L27"/>
      <x:c r="M27"/>
    </x:row>
    <x:row r="28" ht="23" customHeight="1">
      <x:c r="A28" s="4"/>
      <x:c r="B28" s="4"/>
      <x:c r="C28" s="4"/>
      <x:c r="D28" s="4"/>
      <x:c r="E28" s="4"/>
      <x:c r="F28" s="4"/>
      <x:c r="G28" s="4"/>
      <x:c r="H28" s="4"/>
      <x:c r="I28" s="4"/>
      <x:c r="J28"/>
      <x:c r="K28"/>
      <x:c r="L28"/>
      <x:c r="M28"/>
    </x:row>
    <x:row r="29" ht="23" customHeight="1">
      <x:c r="A29"/>
      <x:c r="B29"/>
      <x:c r="C29"/>
      <x:c r="D29"/>
      <x:c r="E29"/>
      <x:c r="F29"/>
      <x:c r="G29"/>
      <x:c r="H29"/>
      <x:c r="I29"/>
      <x:c r="J29"/>
      <x:c r="K29"/>
      <x:c r="L29"/>
      <x:c r="M29"/>
    </x:row>
    <x:row r="30" ht="23" customHeight="1">
      <x:c r="A30"/>
      <x:c r="B30"/>
      <x:c r="C30"/>
      <x:c r="D30"/>
      <x:c r="E30"/>
      <x:c r="F30"/>
      <x:c r="G30"/>
      <x:c r="H30"/>
      <x:c r="I30"/>
      <x:c r="J30"/>
      <x:c r="K30"/>
      <x:c r="L30"/>
      <x:c r="M30"/>
    </x:row>
  </x:sheetData>
  <x:pageMargins left="0.7" right="0.7" top="0.75" bottom="0.75" header="0.3" footer="0.3"/>
</x:worksheet>
</file>

<file path=xl/worksheets/sheet2.xml><?xml version="1.0" encoding="utf-8"?>
<x:worksheet xmlns:x="http://schemas.openxmlformats.org/spreadsheetml/2006/main">
  <x:sheetPr>
    <x:tabColor rgb="FF19384D"/>
  </x:sheetPr>
  <x:sheetViews>
    <x:sheetView showGridLines="0" workbookViewId="0"/>
  </x:sheetViews>
  <x:sheetFormatPr defaultRowHeight="15"/>
  <x:cols>
    <x:col min="1" max="1" width="3" hidden="0" customWidth="1"/>
    <x:col min="2" max="2" width="43" hidden="0" customWidth="1"/>
    <x:col min="3" max="3" width="18" hidden="0" customWidth="1"/>
    <x:col min="4" max="4" width="4" hidden="0" customWidth="1"/>
    <x:col min="5" max="5" width="32" hidden="0" customWidth="1"/>
    <x:col min="6" max="6" width="40" hidden="0" customWidth="1"/>
    <x:col min="7" max="7" width="18" hidden="0" customWidth="1"/>
  </x:cols>
  <x:sheetData>
    <x:row r="1" ht="31" customHeight="1">
      <x:c r="A1" s="6"/>
      <x:c r="B1" s="22" t="str">
        <x:v>CAVA, DCF Valuation</x:v>
      </x:c>
      <x:c r="C1" s="22"/>
      <x:c r="D1" s="22"/>
      <x:c r="E1" s="22"/>
      <x:c r="F1" s="22"/>
      <x:c r="G1" s="22"/>
    </x:row>
    <x:row r="2" ht="34" customHeight="1">
      <x:c r="A2" s="7"/>
      <x:c r="B2" s="26" t="str">
        <x:v>Cash-flow valuation and its equivalent terminal EV/EBITDA.</x:v>
      </x:c>
      <x:c r="C2" s="26"/>
      <x:c r="D2" s="26"/>
      <x:c r="E2" s="26"/>
      <x:c r="F2" s="26"/>
      <x:c r="G2" s="26"/>
    </x:row>
    <x:row r="3" ht="23" customHeight="1">
      <x:c r="A3" s="4"/>
      <x:c r="B3" s="4"/>
      <x:c r="C3" s="4"/>
      <x:c r="D3" s="4"/>
      <x:c r="E3" s="4"/>
      <x:c r="F3" s="4"/>
      <x:c r="G3" s="4"/>
    </x:row>
    <x:row r="4" ht="25" customHeight="1">
      <x:c r="A4" s="4"/>
      <x:c r="B4" s="57" t="str">
        <x:v>Valuation Results</x:v>
      </x:c>
      <x:c r="C4" s="58"/>
      <x:c r="D4" s="4"/>
      <x:c r="E4" s="4"/>
      <x:c r="F4" s="6" t="str">
        <x:v>What the Market Price Implies</x:v>
      </x:c>
      <x:c r="G4" s="4"/>
    </x:row>
    <x:row r="5" ht="34" customHeight="1">
      <x:c r="A5" s="4"/>
      <x:c r="B5" s="40" t="str">
        <x:v>Valuation date</x:v>
      </x:c>
      <x:c r="C5" s="65" t="n">
        <x:f>'Assumptions'!$C$5</x:f>
        <x:v>46239</x:v>
      </x:c>
      <x:c r="D5" s="42"/>
      <x:c r="E5" s="42"/>
      <x:c r="F5" s="40" t="str">
        <x:v>Equity value needed at price (diluted)</x:v>
      </x:c>
      <x:c r="G5" s="66" t="n">
        <x:f>'Assumptions'!$C$6*'Assumptions'!$C$7</x:f>
        <x:v>7837.760801519999</x:v>
      </x:c>
    </x:row>
    <x:row r="6" ht="23" customHeight="1">
      <x:c r="A6" s="4"/>
      <x:c r="B6" s="6" t="str">
        <x:v>Current price</x:v>
      </x:c>
      <x:c r="C6" s="9" t="n">
        <x:f>'Assumptions'!$C$6</x:f>
        <x:v>66.17</x:v>
      </x:c>
      <x:c r="D6" s="4"/>
      <x:c r="E6" s="4"/>
      <x:c r="F6" s="6" t="str">
        <x:v>Enterprise value needed at price</x:v>
      </x:c>
      <x:c r="G6" s="47" t="n">
        <x:f>G5-'Assumptions'!$C$11+'Assumptions'!$C$12-'Assumptions'!$G$8</x:f>
        <x:v>7524.085801519999</x:v>
      </x:c>
    </x:row>
    <x:row r="7" ht="23" customHeight="1">
      <x:c r="A7" s="4"/>
      <x:c r="B7" s="6" t="str">
        <x:v>Base PGR value / share</x:v>
      </x:c>
      <x:c r="C7" s="9" t="n">
        <x:f>'Scenarios'!$O$17</x:f>
        <x:v>30.69828496042651</x:v>
      </x:c>
      <x:c r="D7" s="4"/>
      <x:c r="E7" s="4"/>
      <x:c r="F7" s="6" t="str">
        <x:v>PV explicit FCFF</x:v>
      </x:c>
      <x:c r="G7" s="47" t="n">
        <x:f>'Scenarios'!$O$6</x:f>
        <x:v>875.3559064633095</x:v>
      </x:c>
    </x:row>
    <x:row r="8" ht="23" customHeight="1">
      <x:c r="A8" s="4"/>
      <x:c r="B8" s="6" t="str">
        <x:v>Downside PGR value / share</x:v>
      </x:c>
      <x:c r="C8" s="9" t="n">
        <x:f>'Scenarios'!$O$53</x:f>
        <x:v>14.553074731666955</x:v>
      </x:c>
      <x:c r="D8" s="4"/>
      <x:c r="E8" s="4"/>
      <x:c r="F8" s="6" t="str">
        <x:v>Required PV terminal value</x:v>
      </x:c>
      <x:c r="G8" s="47" t="n">
        <x:f>G6-G7</x:f>
        <x:v>6648.72989505669</x:v>
      </x:c>
    </x:row>
    <x:row r="9" ht="28" customHeight="1">
      <x:c r="A9" s="4"/>
      <x:c r="B9" s="6" t="str">
        <x:v>Upside PGR value / share</x:v>
      </x:c>
      <x:c r="C9" s="9" t="n">
        <x:f>'Scenarios'!$O$89</x:f>
        <x:v>47.92315674721878</x:v>
      </x:c>
      <x:c r="D9" s="4"/>
      <x:c r="E9" s="4"/>
      <x:c r="F9" s="7" t="str">
        <x:v>Required terminal value at FY2035</x:v>
      </x:c>
      <x:c r="G9" s="47" t="n">
        <x:f>G8*(1+'Assumptions'!$C$21)^('Scenarios'!$L$36)</x:f>
        <x:v>16272.8069776522</x:v>
      </x:c>
    </x:row>
    <x:row r="10" ht="23" customHeight="1">
      <x:c r="A10" s="4"/>
      <x:c r="B10" s="6" t="str">
        <x:v>Base upside / (downside)</x:v>
      </x:c>
      <x:c r="C10" s="12" t="n">
        <x:f>C7/C6-1</x:f>
        <x:v>-0.5360694429435318</x:v>
      </x:c>
      <x:c r="D10" s="4"/>
      <x:c r="E10" s="4"/>
      <x:c r="F10" s="6" t="str">
        <x:v>Required FY2036 terminal FCFF</x:v>
      </x:c>
      <x:c r="G10" s="47" t="n">
        <x:f>G9*('Assumptions'!C21-'Assumptions'!C22)</x:f>
        <x:v>1135.9965187064113</x:v>
      </x:c>
    </x:row>
    <x:row r="11" ht="23" customHeight="1">
      <x:c r="A11" s="4"/>
      <x:c r="B11" s="6" t="str">
        <x:v>Base implied EV / EBITDA</x:v>
      </x:c>
      <x:c r="C11" s="230" t="n">
        <x:f>'Assumptions'!$C$23</x:f>
        <x:v>6.886946830369812</x:v>
      </x:c>
      <x:c r="D11" s="4"/>
      <x:c r="E11" s="4"/>
      <x:c r="F11" s="6" t="str">
        <x:v>Base FY2035 revenue</x:v>
      </x:c>
      <x:c r="G11" s="47" t="n">
        <x:f>'Scenarios'!$L$14</x:f>
        <x:v>5063.207460442486</x:v>
      </x:c>
    </x:row>
    <x:row r="12" ht="23" customHeight="1">
      <x:c r="A12" s="4"/>
      <x:c r="B12" s="6" t="str">
        <x:v>Equivalent value / share</x:v>
      </x:c>
      <x:c r="C12" s="9" t="n">
        <x:f>'Scenarios'!$O$23</x:f>
        <x:v>30.69828496011488</x:v>
      </x:c>
      <x:c r="D12" s="4"/>
      <x:c r="E12" s="4"/>
      <x:c r="F12" s="6" t="str">
        <x:v>Implied FY2035 EBIT margin</x:v>
      </x:c>
      <x:c r="G12" s="12" t="n">
        <x:f>(G10/((1+'Assumptions'!C22)*(1-'Assumptions'!C22/'Assumptions'!C75))/G11+'Assumptions'!L41*'Assumptions'!C13)/(1-'Assumptions'!C13)</x:f>
        <x:v>0.3426912551212944</x:v>
      </x:c>
    </x:row>
    <x:row r="13" ht="23" customHeight="1">
      <x:c r="A13" s="4"/>
      <x:c r="B13" s="6" t="str">
        <x:v>PV explicit FCFF</x:v>
      </x:c>
      <x:c r="C13" s="47" t="n">
        <x:f>'Scenarios'!$O$6</x:f>
        <x:v>875.3559064633095</x:v>
      </x:c>
      <x:c r="D13" s="4"/>
      <x:c r="E13" s="4"/>
      <x:c r="F13" s="6" t="str">
        <x:v>Base FY2035 EBIT margin</x:v>
      </x:c>
      <x:c r="G13" s="12" t="n">
        <x:f>'Scenarios'!$L$22</x:f>
        <x:v>0.12676361842358833</x:v>
      </x:c>
    </x:row>
    <x:row r="14" ht="23" customHeight="1">
      <x:c r="A14" s="4"/>
      <x:c r="B14" s="6" t="str">
        <x:v>PV terminal value</x:v>
      </x:c>
      <x:c r="C14" s="47" t="n">
        <x:f>'Scenarios'!$O$11</x:f>
        <x:v>2447.1458282612152</x:v>
      </x:c>
      <x:c r="D14" s="4"/>
      <x:c r="E14" s="4"/>
      <x:c r="F14" s="4"/>
      <x:c r="G14" s="4"/>
    </x:row>
    <x:row r="15" ht="23" customHeight="1">
      <x:c r="A15" s="4"/>
      <x:c r="B15" s="6" t="str">
        <x:v>Enterprise value</x:v>
      </x:c>
      <x:c r="C15" s="47" t="n">
        <x:f>'Scenarios'!$O$12</x:f>
        <x:v>3322.501734724525</x:v>
      </x:c>
      <x:c r="D15" s="4"/>
      <x:c r="E15" s="4"/>
      <x:c r="F15" s="4"/>
      <x:c r="G15" s="4"/>
    </x:row>
    <x:row r="16" ht="23" customHeight="1">
      <x:c r="A16" s="4"/>
      <x:c r="B16" s="6" t="str">
        <x:v>Equity value</x:v>
      </x:c>
      <x:c r="C16" s="47" t="n">
        <x:f>'Scenarios'!$O$15</x:f>
        <x:v>3636.176734724525</x:v>
      </x:c>
      <x:c r="D16" s="4"/>
      <x:c r="E16" s="4"/>
      <x:c r="F16" s="4"/>
      <x:c r="G16" s="4"/>
    </x:row>
    <x:row r="17" ht="23" customHeight="1">
      <x:c r="A17" s="4"/>
      <x:c r="B17" s="6" t="str">
        <x:v>Terminal value / EV</x:v>
      </x:c>
      <x:c r="C17" s="12" t="n">
        <x:f>'Scenarios'!$O$20</x:f>
        <x:v>0.7365371107817082</x:v>
      </x:c>
      <x:c r="D17" s="4"/>
      <x:c r="E17" s="4"/>
      <x:c r="F17" s="4"/>
      <x:c r="G17" s="4"/>
    </x:row>
    <x:row r="18" ht="23" customHeight="1">
      <x:c r="A18" s="4"/>
      <x:c r="B18" s="4"/>
      <x:c r="C18" s="4"/>
      <x:c r="D18" s="4"/>
      <x:c r="E18" s="4"/>
      <x:c r="F18" s="4"/>
      <x:c r="G18" s="4"/>
    </x:row>
    <x:row r="19" ht="23" customHeight="1">
      <x:c r="A19" s="4"/>
      <x:c r="B19" s="4"/>
      <x:c r="C19" s="4"/>
      <x:c r="D19" s="4"/>
      <x:c r="E19" s="4"/>
      <x:c r="F19" s="4"/>
      <x:c r="G19" s="4"/>
    </x:row>
    <x:row r="20" ht="23" customHeight="1">
      <x:c r="A20" s="4"/>
      <x:c r="B20" s="4"/>
      <x:c r="C20" s="4"/>
      <x:c r="D20" s="4"/>
      <x:c r="E20" s="4"/>
      <x:c r="F20" s="4"/>
      <x:c r="G20" s="4"/>
    </x:row>
    <x:row r="21" ht="23" customHeight="1">
      <x:c r="A21" s="4"/>
      <x:c r="B21" s="4"/>
      <x:c r="C21" s="4"/>
      <x:c r="D21" s="4"/>
      <x:c r="E21" s="4"/>
      <x:c r="F21" s="4"/>
      <x:c r="G21" s="4"/>
    </x:row>
    <x:row r="22" ht="24" customHeight="1">
      <x:c r="A22" s="4"/>
      <x:c r="B22" s="44" t="str">
        <x:v>Terminal reinvestment equals growth divided by the selected ROIC. ROIC assumptions are 20% base, 15% downside and 25% upside.</x:v>
      </x:c>
      <x:c r="C22" s="26"/>
      <x:c r="D22" s="26"/>
      <x:c r="E22" s="26"/>
      <x:c r="F22" s="26"/>
      <x:c r="G22" s="26"/>
    </x:row>
    <x:row r="23" ht="24" customHeight="1">
      <x:c r="A23" s="4"/>
      <x:c r="B23" s="45" t="str">
        <x:v>The first forecast period uses the remaining fiscal-day share, an approximation that does not capture seasonal construction</x:v>
      </x:c>
      <x:c r="C23" s="4"/>
      <x:c r="D23" s="4"/>
      <x:c r="E23" s="4"/>
      <x:c r="F23" s="4"/>
      <x:c r="G23" s="4"/>
    </x:row>
    <x:row r="24" ht="24" customHeight="1">
      <x:c r="A24" s="4"/>
      <x:c r="B24" s="45" t="str">
        <x:v>timing.</x:v>
      </x:c>
      <x:c r="C24" s="4"/>
      <x:c r="D24" s="4"/>
      <x:c r="E24" s="4"/>
      <x:c r="F24" s="4"/>
      <x:c r="G24" s="4"/>
    </x:row>
    <x:row r="25" ht="23" customHeight="1">
      <x:c r="A25" s="4"/>
      <x:c r="B25" s="4"/>
      <x:c r="C25" s="4"/>
      <x:c r="D25" s="4"/>
      <x:c r="E25" s="4"/>
      <x:c r="F25" s="4"/>
      <x:c r="G25" s="4"/>
    </x:row>
    <x:row r="26" ht="23" customHeight="1">
      <x:c r="A26" s="4"/>
      <x:c r="B26" s="4"/>
      <x:c r="C26" s="4"/>
      <x:c r="D26" s="4"/>
      <x:c r="E26" s="4"/>
      <x:c r="F26" s="4"/>
      <x:c r="G26" s="4"/>
    </x:row>
    <x:row r="27" ht="23" customHeight="1">
      <x:c r="A27" s="4"/>
      <x:c r="B27" s="4"/>
      <x:c r="C27" s="4"/>
      <x:c r="D27" s="4"/>
      <x:c r="E27" s="4"/>
      <x:c r="F27" s="4"/>
      <x:c r="G27" s="4"/>
    </x:row>
    <x:row r="28" ht="23" customHeight="1">
      <x:c r="A28" s="4"/>
      <x:c r="B28" s="4"/>
      <x:c r="C28" s="4"/>
      <x:c r="D28" s="4"/>
      <x:c r="E28" s="4"/>
      <x:c r="F28" s="4"/>
      <x:c r="G28" s="4"/>
    </x:row>
    <x:row r="29" ht="23" customHeight="1">
      <x:c r="A29" s="4"/>
      <x:c r="B29" s="4"/>
      <x:c r="C29" s="4"/>
      <x:c r="D29" s="4"/>
      <x:c r="E29" s="4"/>
      <x:c r="F29" s="4"/>
      <x:c r="G29" s="4"/>
    </x:row>
    <x:row r="30" ht="23" customHeight="1">
      <x:c r="A30" s="4"/>
      <x:c r="B30" s="4"/>
      <x:c r="C30" s="4"/>
      <x:c r="D30" s="4"/>
      <x:c r="E30" s="4"/>
      <x:c r="F30" s="4"/>
      <x:c r="G30" s="4"/>
    </x:row>
  </x:sheetData>
  <x:pageMargins left="0.7" right="0.7" top="0.75" bottom="0.75" header="0.3" footer="0.3"/>
</x:worksheet>
</file>

<file path=xl/worksheets/sheet3.xml><?xml version="1.0" encoding="utf-8"?>
<x:worksheet xmlns:x="http://schemas.openxmlformats.org/spreadsheetml/2006/main">
  <x:sheetPr>
    <x:tabColor rgb="FF19384D"/>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1" customHeight="1">
      <x:c r="A1" s="6"/>
      <x:c r="B1" s="22" t="str">
        <x:v>CAVA, Sensitivity Analysis</x:v>
      </x:c>
      <x:c r="C1" s="22"/>
      <x:c r="D1" s="22"/>
      <x:c r="E1" s="22"/>
      <x:c r="F1" s="22"/>
      <x:c r="G1" s="22"/>
      <x:c r="H1" s="22"/>
      <x:c r="I1" s="22"/>
      <x:c r="J1" s="22"/>
      <x:c r="K1" s="22"/>
      <x:c r="L1" s="22"/>
      <x:c r="M1" s="22"/>
      <x:c r="N1" s="22"/>
    </x:row>
    <x:row r="2" ht="24" customHeight="1">
      <x:c r="A2" s="7"/>
      <x:c r="B2" s="26" t="str">
        <x:v>Per-share values. The first grid changes WACC and growth throughout the valuation. Other grids hold the explicit forecast</x:v>
      </x:c>
      <x:c r="C2" s="26"/>
      <x:c r="D2" s="26"/>
      <x:c r="E2" s="26"/>
      <x:c r="F2" s="26"/>
      <x:c r="G2" s="26"/>
      <x:c r="H2" s="26"/>
      <x:c r="I2" s="26"/>
      <x:c r="J2" s="26"/>
      <x:c r="K2" s="26"/>
      <x:c r="L2" s="26"/>
      <x:c r="M2" s="26"/>
      <x:c r="N2" s="26"/>
    </x:row>
    <x:row r="3" ht="24" customHeight="1">
      <x:c r="A3" s="4"/>
      <x:c r="B3" s="45" t="str">
        <x:v>fixed.</x:v>
      </x:c>
      <x:c r="C3" s="4"/>
      <x:c r="D3" s="4"/>
      <x:c r="E3" s="4"/>
      <x:c r="F3" s="4"/>
      <x:c r="G3" s="4"/>
      <x:c r="H3" s="4"/>
      <x:c r="I3" s="4"/>
      <x:c r="J3" s="4"/>
      <x:c r="K3" s="4"/>
      <x:c r="L3" s="4"/>
      <x:c r="M3" s="4"/>
      <x:c r="N3" s="4"/>
    </x:row>
    <x:row r="4" ht="25" customHeight="1">
      <x:c r="A4" s="4"/>
      <x:c r="B4" s="57" t="str">
        <x:v>WACC vs. Terminal Growth - Full DCF, explicit FCFF re-discounted</x:v>
      </x:c>
      <x:c r="C4" s="58"/>
      <x:c r="D4" s="58"/>
      <x:c r="E4" s="58"/>
      <x:c r="F4" s="58"/>
      <x:c r="G4" s="58"/>
      <x:c r="H4" s="4"/>
      <x:c r="I4" s="6" t="str">
        <x:v>Terminal Revenue × EBIT Margin</x:v>
      </x:c>
      <x:c r="J4" s="4"/>
      <x:c r="K4" s="4"/>
      <x:c r="L4" s="4"/>
      <x:c r="M4" s="4"/>
      <x:c r="N4" s="4"/>
    </x:row>
    <x:row r="5" ht="34" customHeight="1">
      <x:c r="A5" s="4"/>
      <x:c r="B5" s="40" t="str">
        <x:v>Terminal growth / WACC</x:v>
      </x:c>
      <x:c r="C5" s="82" t="n">
        <x:f>'Assumptions'!C21-0.01</x:f>
        <x:v>0.0898095</x:v>
      </x:c>
      <x:c r="D5" s="82" t="n">
        <x:f>'Assumptions'!C21-0.005</x:f>
        <x:v>0.09480949999999999</x:v>
      </x:c>
      <x:c r="E5" s="82" t="n">
        <x:f>'Assumptions'!C21+0</x:f>
        <x:v>0.0998095</x:v>
      </x:c>
      <x:c r="F5" s="82" t="n">
        <x:f>'Assumptions'!C21+0.005</x:f>
        <x:v>0.1048095</x:v>
      </x:c>
      <x:c r="G5" s="82" t="n">
        <x:f>'Assumptions'!C21+0.01</x:f>
        <x:v>0.10980949999999999</x:v>
      </x:c>
      <x:c r="H5" s="42"/>
      <x:c r="I5" s="85" t="str">
        <x:v>Revenue multiplier / EBIT margin</x:v>
      </x:c>
      <x:c r="J5" s="85" t="n">
        <x:v>0.1</x:v>
      </x:c>
      <x:c r="K5" s="85" t="n">
        <x:v>0.12</x:v>
      </x:c>
      <x:c r="L5" s="85" t="n">
        <x:f>'Scenarios'!L22</x:f>
        <x:v>0.12676361842358833</x:v>
      </x:c>
      <x:c r="M5" s="85" t="n">
        <x:v>0.16</x:v>
      </x:c>
      <x:c r="N5" s="85" t="n">
        <x:v>0.18</x:v>
      </x:c>
    </x:row>
    <x:row r="6" ht="23" customHeight="1">
      <x:c r="A6" s="4"/>
      <x:c r="B6" s="68" t="n">
        <x:f>'Assumptions'!C22-0.01</x:f>
        <x:v>0.019999999999999997</x:v>
      </x:c>
      <x:c r="C6" s="218" t="n">
        <x:f>IF(C$5&gt;$B6,('Scenarios'!$C$31*'Scenarios'!$C$37/(1+C$5)^'Scenarios'!$C$36+'Scenarios'!$D$31/(1+C$5)^'Scenarios'!$D$36+'Scenarios'!$E$31/(1+C$5)^'Scenarios'!$E$36+'Scenarios'!$F$31/(1+C$5)^'Scenarios'!$F$36+'Scenarios'!$G$31/(1+C$5)^'Scenarios'!$G$36+'Scenarios'!$H$31/(1+C$5)^'Scenarios'!$H$36+'Scenarios'!$I$31/(1+C$5)^'Scenarios'!$I$36+'Scenarios'!$J$31/(1+C$5)^'Scenarios'!$J$36+'Scenarios'!$K$31/(1+C$5)^'Scenarios'!$K$36+'Scenarios'!$L$31/(1+C$5)^'Scenarios'!$L$36+('Scenarios'!$L$24*(1+$B6)*(1-$B6/'Assumptions'!$C$75))/(C$5-$B6)/(1+C$5)^'Scenarios'!$L$36+'Assumptions'!$C$11-'Assumptions'!$C$12+'Assumptions'!$G$8)/'Assumptions'!$C$7,"n.a.")</x:f>
        <x:v>34.145346930631256</x:v>
      </x:c>
      <x:c r="D6" s="218" t="n">
        <x:f>IF(D$5&gt;$B6,('Scenarios'!$C$31*'Scenarios'!$C$37/(1+D$5)^'Scenarios'!$C$36+'Scenarios'!$D$31/(1+D$5)^'Scenarios'!$D$36+'Scenarios'!$E$31/(1+D$5)^'Scenarios'!$E$36+'Scenarios'!$F$31/(1+D$5)^'Scenarios'!$F$36+'Scenarios'!$G$31/(1+D$5)^'Scenarios'!$G$36+'Scenarios'!$H$31/(1+D$5)^'Scenarios'!$H$36+'Scenarios'!$I$31/(1+D$5)^'Scenarios'!$I$36+'Scenarios'!$J$31/(1+D$5)^'Scenarios'!$J$36+'Scenarios'!$K$31/(1+D$5)^'Scenarios'!$K$36+'Scenarios'!$L$31/(1+D$5)^'Scenarios'!$L$36+('Scenarios'!$L$24*(1+$B6)*(1-$B6/'Assumptions'!$C$75))/(D$5-$B6)/(1+D$5)^'Scenarios'!$L$36+'Assumptions'!$C$11-'Assumptions'!$C$12+'Assumptions'!$G$8)/'Assumptions'!$C$7,"n.a.")</x:f>
        <x:v>31.383964776132714</x:v>
      </x:c>
      <x:c r="E6" s="218" t="n">
        <x:f>IF(E$5&gt;$B6,('Scenarios'!$C$31*'Scenarios'!$C$37/(1+E$5)^'Scenarios'!$C$36+'Scenarios'!$D$31/(1+E$5)^'Scenarios'!$D$36+'Scenarios'!$E$31/(1+E$5)^'Scenarios'!$E$36+'Scenarios'!$F$31/(1+E$5)^'Scenarios'!$F$36+'Scenarios'!$G$31/(1+E$5)^'Scenarios'!$G$36+'Scenarios'!$H$31/(1+E$5)^'Scenarios'!$H$36+'Scenarios'!$I$31/(1+E$5)^'Scenarios'!$I$36+'Scenarios'!$J$31/(1+E$5)^'Scenarios'!$J$36+'Scenarios'!$K$31/(1+E$5)^'Scenarios'!$K$36+'Scenarios'!$L$31/(1+E$5)^'Scenarios'!$L$36+('Scenarios'!$L$24*(1+$B6)*(1-$B6/'Assumptions'!$C$75))/(E$5-$B6)/(1+E$5)^'Scenarios'!$L$36+'Assumptions'!$C$11-'Assumptions'!$C$12+'Assumptions'!$G$8)/'Assumptions'!$C$7,"n.a.")</x:f>
        <x:v>28.98687528237418</x:v>
      </x:c>
      <x:c r="F6" s="218" t="n">
        <x:f>IF(F$5&gt;$B6,('Scenarios'!$C$31*'Scenarios'!$C$37/(1+F$5)^'Scenarios'!$C$36+'Scenarios'!$D$31/(1+F$5)^'Scenarios'!$D$36+'Scenarios'!$E$31/(1+F$5)^'Scenarios'!$E$36+'Scenarios'!$F$31/(1+F$5)^'Scenarios'!$F$36+'Scenarios'!$G$31/(1+F$5)^'Scenarios'!$G$36+'Scenarios'!$H$31/(1+F$5)^'Scenarios'!$H$36+'Scenarios'!$I$31/(1+F$5)^'Scenarios'!$I$36+'Scenarios'!$J$31/(1+F$5)^'Scenarios'!$J$36+'Scenarios'!$K$31/(1+F$5)^'Scenarios'!$K$36+'Scenarios'!$L$31/(1+F$5)^'Scenarios'!$L$36+('Scenarios'!$L$24*(1+$B6)*(1-$B6/'Assumptions'!$C$75))/(F$5-$B6)/(1+F$5)^'Scenarios'!$L$36+'Assumptions'!$C$11-'Assumptions'!$C$12+'Assumptions'!$G$8)/'Assumptions'!$C$7,"n.a.")</x:f>
        <x:v>26.889025839688937</x:v>
      </x:c>
      <x:c r="G6" s="218" t="n">
        <x:f>IF(G$5&gt;$B6,('Scenarios'!$C$31*'Scenarios'!$C$37/(1+G$5)^'Scenarios'!$C$36+'Scenarios'!$D$31/(1+G$5)^'Scenarios'!$D$36+'Scenarios'!$E$31/(1+G$5)^'Scenarios'!$E$36+'Scenarios'!$F$31/(1+G$5)^'Scenarios'!$F$36+'Scenarios'!$G$31/(1+G$5)^'Scenarios'!$G$36+'Scenarios'!$H$31/(1+G$5)^'Scenarios'!$H$36+'Scenarios'!$I$31/(1+G$5)^'Scenarios'!$I$36+'Scenarios'!$J$31/(1+G$5)^'Scenarios'!$J$36+'Scenarios'!$K$31/(1+G$5)^'Scenarios'!$K$36+'Scenarios'!$L$31/(1+G$5)^'Scenarios'!$L$36+('Scenarios'!$L$24*(1+$B6)*(1-$B6/'Assumptions'!$C$75))/(G$5-$B6)/(1+G$5)^'Scenarios'!$L$36+'Assumptions'!$C$11-'Assumptions'!$C$12+'Assumptions'!$G$8)/'Assumptions'!$C$7,"n.a.")</x:f>
        <x:v>25.039874863871972</x:v>
      </x:c>
      <x:c r="H6" s="4"/>
      <x:c r="I6" s="72" t="n">
        <x:v>0.9</x:v>
      </x:c>
      <x:c r="J6" s="9" t="n">
        <x:f>('Scenarios'!$O$6+('Scenarios'!$L$14*$I6*J$5*(1-'Assumptions'!$C$13))*(1+'Assumptions'!$C$22)*(1-'Assumptions'!$C$22/'Assumptions'!$C$75)/('Assumptions'!$C$21-'Assumptions'!$C$22)/(1+'Assumptions'!$C$21)^'Scenarios'!$L$36+'Assumptions'!$C$11-'Assumptions'!$C$12+'Assumptions'!$G$8)/'Assumptions'!$C$7</x:f>
        <x:v>24.82318300077521</x:v>
      </x:c>
      <x:c r="K6" s="9" t="n">
        <x:f>('Scenarios'!$O$6+('Scenarios'!$L$14*$I6*K$5*(1-'Assumptions'!$C$13))*(1+'Assumptions'!$C$22)*(1-'Assumptions'!$C$22/'Assumptions'!$C$75)/('Assumptions'!$C$21-'Assumptions'!$C$22)/(1+'Assumptions'!$C$21)^'Scenarios'!$L$36+'Assumptions'!$C$11-'Assumptions'!$C$12+'Assumptions'!$G$8)/'Assumptions'!$C$7</x:f>
        <x:v>27.7801498831859</x:v>
      </x:c>
      <x:c r="L6" s="9" t="n">
        <x:f>('Scenarios'!$O$6+('Scenarios'!$L$14*$I6*L$5*(1-'Assumptions'!$C$13))*(1+'Assumptions'!$C$22)*(1-'Assumptions'!$C$22/'Assumptions'!$C$75)/('Assumptions'!$C$21-'Assumptions'!$C$22)/(1+'Assumptions'!$C$21)^'Scenarios'!$L$36+'Assumptions'!$C$11-'Assumptions'!$C$12+'Assumptions'!$G$8)/'Assumptions'!$C$7</x:f>
        <x:v>28.78013966737657</x:v>
      </x:c>
      <x:c r="M6" s="9" t="n">
        <x:f>('Scenarios'!$O$6+('Scenarios'!$L$14*$I6*M$5*(1-'Assumptions'!$C$13))*(1+'Assumptions'!$C$22)*(1-'Assumptions'!$C$22/'Assumptions'!$C$75)/('Assumptions'!$C$21-'Assumptions'!$C$22)/(1+'Assumptions'!$C$21)^'Scenarios'!$L$36+'Assumptions'!$C$11-'Assumptions'!$C$12+'Assumptions'!$G$8)/'Assumptions'!$C$7</x:f>
        <x:v>33.69408364800727</x:v>
      </x:c>
      <x:c r="N6" s="9" t="n">
        <x:f>('Scenarios'!$O$6+('Scenarios'!$L$14*$I6*N$5*(1-'Assumptions'!$C$13))*(1+'Assumptions'!$C$22)*(1-'Assumptions'!$C$22/'Assumptions'!$C$75)/('Assumptions'!$C$21-'Assumptions'!$C$22)/(1+'Assumptions'!$C$21)^'Scenarios'!$L$36+'Assumptions'!$C$11-'Assumptions'!$C$12+'Assumptions'!$G$8)/'Assumptions'!$C$7</x:f>
        <x:v>36.651050530417955</x:v>
      </x:c>
    </x:row>
    <x:row r="7" ht="23" customHeight="1">
      <x:c r="A7" s="4"/>
      <x:c r="B7" s="68" t="n">
        <x:f>'Assumptions'!C22-0.005</x:f>
        <x:v>0.024999999999999998</x:v>
      </x:c>
      <x:c r="C7" s="218" t="n">
        <x:f>IF(C$5&gt;$B7,('Scenarios'!$C$31*'Scenarios'!$C$37/(1+C$5)^'Scenarios'!$C$36+'Scenarios'!$D$31/(1+C$5)^'Scenarios'!$D$36+'Scenarios'!$E$31/(1+C$5)^'Scenarios'!$E$36+'Scenarios'!$F$31/(1+C$5)^'Scenarios'!$F$36+'Scenarios'!$G$31/(1+C$5)^'Scenarios'!$G$36+'Scenarios'!$H$31/(1+C$5)^'Scenarios'!$H$36+'Scenarios'!$I$31/(1+C$5)^'Scenarios'!$I$36+'Scenarios'!$J$31/(1+C$5)^'Scenarios'!$J$36+'Scenarios'!$K$31/(1+C$5)^'Scenarios'!$K$36+'Scenarios'!$L$31/(1+C$5)^'Scenarios'!$L$36+('Scenarios'!$L$24*(1+$B7)*(1-$B7/'Assumptions'!$C$75))/(C$5-$B7)/(1+C$5)^'Scenarios'!$L$36+'Assumptions'!$C$11-'Assumptions'!$C$12+'Assumptions'!$G$8)/'Assumptions'!$C$7,"n.a.")</x:f>
        <x:v>35.38144151586684</x:v>
      </x:c>
      <x:c r="D7" s="218" t="n">
        <x:f>IF(D$5&gt;$B7,('Scenarios'!$C$31*'Scenarios'!$C$37/(1+D$5)^'Scenarios'!$C$36+'Scenarios'!$D$31/(1+D$5)^'Scenarios'!$D$36+'Scenarios'!$E$31/(1+D$5)^'Scenarios'!$E$36+'Scenarios'!$F$31/(1+D$5)^'Scenarios'!$F$36+'Scenarios'!$G$31/(1+D$5)^'Scenarios'!$G$36+'Scenarios'!$H$31/(1+D$5)^'Scenarios'!$H$36+'Scenarios'!$I$31/(1+D$5)^'Scenarios'!$I$36+'Scenarios'!$J$31/(1+D$5)^'Scenarios'!$J$36+'Scenarios'!$K$31/(1+D$5)^'Scenarios'!$K$36+'Scenarios'!$L$31/(1+D$5)^'Scenarios'!$L$36+('Scenarios'!$L$24*(1+$B7)*(1-$B7/'Assumptions'!$C$75))/(D$5-$B7)/(1+D$5)^'Scenarios'!$L$36+'Assumptions'!$C$11-'Assumptions'!$C$12+'Assumptions'!$G$8)/'Assumptions'!$C$7,"n.a.")</x:f>
        <x:v>32.374910767825384</x:v>
      </x:c>
      <x:c r="E7" s="218" t="n">
        <x:f>IF(E$5&gt;$B7,('Scenarios'!$C$31*'Scenarios'!$C$37/(1+E$5)^'Scenarios'!$C$36+'Scenarios'!$D$31/(1+E$5)^'Scenarios'!$D$36+'Scenarios'!$E$31/(1+E$5)^'Scenarios'!$E$36+'Scenarios'!$F$31/(1+E$5)^'Scenarios'!$F$36+'Scenarios'!$G$31/(1+E$5)^'Scenarios'!$G$36+'Scenarios'!$H$31/(1+E$5)^'Scenarios'!$H$36+'Scenarios'!$I$31/(1+E$5)^'Scenarios'!$I$36+'Scenarios'!$J$31/(1+E$5)^'Scenarios'!$J$36+'Scenarios'!$K$31/(1+E$5)^'Scenarios'!$K$36+'Scenarios'!$L$31/(1+E$5)^'Scenarios'!$L$36+('Scenarios'!$L$24*(1+$B7)*(1-$B7/'Assumptions'!$C$75))/(E$5-$B7)/(1+E$5)^'Scenarios'!$L$36+'Assumptions'!$C$11-'Assumptions'!$C$12+'Assumptions'!$G$8)/'Assumptions'!$C$7,"n.a.")</x:f>
        <x:v>29.78814044802888</x:v>
      </x:c>
      <x:c r="F7" s="218" t="n">
        <x:f>IF(F$5&gt;$B7,('Scenarios'!$C$31*'Scenarios'!$C$37/(1+F$5)^'Scenarios'!$C$36+'Scenarios'!$D$31/(1+F$5)^'Scenarios'!$D$36+'Scenarios'!$E$31/(1+F$5)^'Scenarios'!$E$36+'Scenarios'!$F$31/(1+F$5)^'Scenarios'!$F$36+'Scenarios'!$G$31/(1+F$5)^'Scenarios'!$G$36+'Scenarios'!$H$31/(1+F$5)^'Scenarios'!$H$36+'Scenarios'!$I$31/(1+F$5)^'Scenarios'!$I$36+'Scenarios'!$J$31/(1+F$5)^'Scenarios'!$J$36+'Scenarios'!$K$31/(1+F$5)^'Scenarios'!$K$36+'Scenarios'!$L$31/(1+F$5)^'Scenarios'!$L$36+('Scenarios'!$L$24*(1+$B7)*(1-$B7/'Assumptions'!$C$75))/(F$5-$B7)/(1+F$5)^'Scenarios'!$L$36+'Assumptions'!$C$11-'Assumptions'!$C$12+'Assumptions'!$G$8)/'Assumptions'!$C$7,"n.a.")</x:f>
        <x:v>27.54165186055269</x:v>
      </x:c>
      <x:c r="G7" s="218" t="n">
        <x:f>IF(G$5&gt;$B7,('Scenarios'!$C$31*'Scenarios'!$C$37/(1+G$5)^'Scenarios'!$C$36+'Scenarios'!$D$31/(1+G$5)^'Scenarios'!$D$36+'Scenarios'!$E$31/(1+G$5)^'Scenarios'!$E$36+'Scenarios'!$F$31/(1+G$5)^'Scenarios'!$F$36+'Scenarios'!$G$31/(1+G$5)^'Scenarios'!$G$36+'Scenarios'!$H$31/(1+G$5)^'Scenarios'!$H$36+'Scenarios'!$I$31/(1+G$5)^'Scenarios'!$I$36+'Scenarios'!$J$31/(1+G$5)^'Scenarios'!$J$36+'Scenarios'!$K$31/(1+G$5)^'Scenarios'!$K$36+'Scenarios'!$L$31/(1+G$5)^'Scenarios'!$L$36+('Scenarios'!$L$24*(1+$B7)*(1-$B7/'Assumptions'!$C$75))/(G$5-$B7)/(1+G$5)^'Scenarios'!$L$36+'Assumptions'!$C$11-'Assumptions'!$C$12+'Assumptions'!$G$8)/'Assumptions'!$C$7,"n.a.")</x:f>
        <x:v>25.574731133767507</x:v>
      </x:c>
      <x:c r="H7" s="4"/>
      <x:c r="I7" s="72" t="n">
        <x:v>1</x:v>
      </x:c>
      <x:c r="J7" s="9" t="n">
        <x:f>('Scenarios'!$O$6+('Scenarios'!$L$14*$I7*J$5*(1-'Assumptions'!$C$13))*(1+'Assumptions'!$C$22)*(1-'Assumptions'!$C$22/'Assumptions'!$C$75)/('Assumptions'!$C$21-'Assumptions'!$C$22)/(1+'Assumptions'!$C$21)^'Scenarios'!$L$36+'Assumptions'!$C$11-'Assumptions'!$C$12+'Assumptions'!$G$8)/'Assumptions'!$C$7</x:f>
        <x:v>26.46594237989226</x:v>
      </x:c>
      <x:c r="K7" s="9" t="n">
        <x:f>('Scenarios'!$O$6+('Scenarios'!$L$14*$I7*K$5*(1-'Assumptions'!$C$13))*(1+'Assumptions'!$C$22)*(1-'Assumptions'!$C$22/'Assumptions'!$C$75)/('Assumptions'!$C$21-'Assumptions'!$C$22)/(1+'Assumptions'!$C$21)^'Scenarios'!$L$36+'Assumptions'!$C$11-'Assumptions'!$C$12+'Assumptions'!$G$8)/'Assumptions'!$C$7</x:f>
        <x:v>29.751461138126356</x:v>
      </x:c>
      <x:c r="L7" s="9" t="n">
        <x:f>('Scenarios'!$O$6+('Scenarios'!$L$14*$I7*L$5*(1-'Assumptions'!$C$13))*(1+'Assumptions'!$C$22)*(1-'Assumptions'!$C$22/'Assumptions'!$C$75)/('Assumptions'!$C$21-'Assumptions'!$C$22)/(1+'Assumptions'!$C$21)^'Scenarios'!$L$36+'Assumptions'!$C$11-'Assumptions'!$C$12+'Assumptions'!$G$8)/'Assumptions'!$C$7</x:f>
        <x:v>30.86256089833821</x:v>
      </x:c>
      <x:c r="M7" s="9" t="n">
        <x:f>('Scenarios'!$O$6+('Scenarios'!$L$14*$I7*M$5*(1-'Assumptions'!$C$13))*(1+'Assumptions'!$C$22)*(1-'Assumptions'!$C$22/'Assumptions'!$C$75)/('Assumptions'!$C$21-'Assumptions'!$C$22)/(1+'Assumptions'!$C$21)^'Scenarios'!$L$36+'Assumptions'!$C$11-'Assumptions'!$C$12+'Assumptions'!$G$8)/'Assumptions'!$C$7</x:f>
        <x:v>36.32249865459454</x:v>
      </x:c>
      <x:c r="N7" s="9" t="n">
        <x:f>('Scenarios'!$O$6+('Scenarios'!$L$14*$I7*N$5*(1-'Assumptions'!$C$13))*(1+'Assumptions'!$C$22)*(1-'Assumptions'!$C$22/'Assumptions'!$C$75)/('Assumptions'!$C$21-'Assumptions'!$C$22)/(1+'Assumptions'!$C$21)^'Scenarios'!$L$36+'Assumptions'!$C$11-'Assumptions'!$C$12+'Assumptions'!$G$8)/'Assumptions'!$C$7</x:f>
        <x:v>39.60801741282863</x:v>
      </x:c>
    </x:row>
    <x:row r="8" ht="23" customHeight="1">
      <x:c r="A8" s="4"/>
      <x:c r="B8" s="68" t="n">
        <x:f>'Assumptions'!C22+0</x:f>
        <x:v>0.03</x:v>
      </x:c>
      <x:c r="C8" s="218" t="n">
        <x:f>IF(C$5&gt;$B8,('Scenarios'!$C$31*'Scenarios'!$C$37/(1+C$5)^'Scenarios'!$C$36+'Scenarios'!$D$31/(1+C$5)^'Scenarios'!$D$36+'Scenarios'!$E$31/(1+C$5)^'Scenarios'!$E$36+'Scenarios'!$F$31/(1+C$5)^'Scenarios'!$F$36+'Scenarios'!$G$31/(1+C$5)^'Scenarios'!$G$36+'Scenarios'!$H$31/(1+C$5)^'Scenarios'!$H$36+'Scenarios'!$I$31/(1+C$5)^'Scenarios'!$I$36+'Scenarios'!$J$31/(1+C$5)^'Scenarios'!$J$36+'Scenarios'!$K$31/(1+C$5)^'Scenarios'!$K$36+'Scenarios'!$L$31/(1+C$5)^'Scenarios'!$L$36+('Scenarios'!$L$24*(1+$B8)*(1-$B8/'Assumptions'!$C$75))/(C$5-$B8)/(1+C$5)^'Scenarios'!$L$36+'Assumptions'!$C$11-'Assumptions'!$C$12+'Assumptions'!$G$8)/'Assumptions'!$C$7,"n.a.")</x:f>
        <x:v>36.81670429720752</x:v>
      </x:c>
      <x:c r="D8" s="218" t="n">
        <x:f>IF(D$5&gt;$B8,('Scenarios'!$C$31*'Scenarios'!$C$37/(1+D$5)^'Scenarios'!$C$36+'Scenarios'!$D$31/(1+D$5)^'Scenarios'!$D$36+'Scenarios'!$E$31/(1+D$5)^'Scenarios'!$E$36+'Scenarios'!$F$31/(1+D$5)^'Scenarios'!$F$36+'Scenarios'!$G$31/(1+D$5)^'Scenarios'!$G$36+'Scenarios'!$H$31/(1+D$5)^'Scenarios'!$H$36+'Scenarios'!$I$31/(1+D$5)^'Scenarios'!$I$36+'Scenarios'!$J$31/(1+D$5)^'Scenarios'!$J$36+'Scenarios'!$K$31/(1+D$5)^'Scenarios'!$K$36+'Scenarios'!$L$31/(1+D$5)^'Scenarios'!$L$36+('Scenarios'!$L$24*(1+$B8)*(1-$B8/'Assumptions'!$C$75))/(D$5-$B8)/(1+D$5)^'Scenarios'!$L$36+'Assumptions'!$C$11-'Assumptions'!$C$12+'Assumptions'!$G$8)/'Assumptions'!$C$7,"n.a.")</x:f>
        <x:v>33.51212515780516</x:v>
      </x:c>
      <x:c r="E8" s="219" t="n">
        <x:f>IF(E$5&gt;$B8,('Scenarios'!$C$31*'Scenarios'!$C$37/(1+E$5)^'Scenarios'!$C$36+'Scenarios'!$D$31/(1+E$5)^'Scenarios'!$D$36+'Scenarios'!$E$31/(1+E$5)^'Scenarios'!$E$36+'Scenarios'!$F$31/(1+E$5)^'Scenarios'!$F$36+'Scenarios'!$G$31/(1+E$5)^'Scenarios'!$G$36+'Scenarios'!$H$31/(1+E$5)^'Scenarios'!$H$36+'Scenarios'!$I$31/(1+E$5)^'Scenarios'!$I$36+'Scenarios'!$J$31/(1+E$5)^'Scenarios'!$J$36+'Scenarios'!$K$31/(1+E$5)^'Scenarios'!$K$36+'Scenarios'!$L$31/(1+E$5)^'Scenarios'!$L$36+('Scenarios'!$L$24*(1+$B8)*(1-$B8/'Assumptions'!$C$75))/(E$5-$B8)/(1+E$5)^'Scenarios'!$L$36+'Assumptions'!$C$11-'Assumptions'!$C$12+'Assumptions'!$G$8)/'Assumptions'!$C$7,"n.a.")</x:f>
        <x:v>30.698284960426506</x:v>
      </x:c>
      <x:c r="F8" s="218" t="n">
        <x:f>IF(F$5&gt;$B8,('Scenarios'!$C$31*'Scenarios'!$C$37/(1+F$5)^'Scenarios'!$C$36+'Scenarios'!$D$31/(1+F$5)^'Scenarios'!$D$36+'Scenarios'!$E$31/(1+F$5)^'Scenarios'!$E$36+'Scenarios'!$F$31/(1+F$5)^'Scenarios'!$F$36+'Scenarios'!$G$31/(1+F$5)^'Scenarios'!$G$36+'Scenarios'!$H$31/(1+F$5)^'Scenarios'!$H$36+'Scenarios'!$I$31/(1+F$5)^'Scenarios'!$I$36+'Scenarios'!$J$31/(1+F$5)^'Scenarios'!$J$36+'Scenarios'!$K$31/(1+F$5)^'Scenarios'!$K$36+'Scenarios'!$L$31/(1+F$5)^'Scenarios'!$L$36+('Scenarios'!$L$24*(1+$B8)*(1-$B8/'Assumptions'!$C$75))/(F$5-$B8)/(1+F$5)^'Scenarios'!$L$36+'Assumptions'!$C$11-'Assumptions'!$C$12+'Assumptions'!$G$8)/'Assumptions'!$C$7,"n.a.")</x:f>
        <x:v>28.276241092543568</x:v>
      </x:c>
      <x:c r="G8" s="218" t="n">
        <x:f>IF(G$5&gt;$B8,('Scenarios'!$C$31*'Scenarios'!$C$37/(1+G$5)^'Scenarios'!$C$36+'Scenarios'!$D$31/(1+G$5)^'Scenarios'!$D$36+'Scenarios'!$E$31/(1+G$5)^'Scenarios'!$E$36+'Scenarios'!$F$31/(1+G$5)^'Scenarios'!$F$36+'Scenarios'!$G$31/(1+G$5)^'Scenarios'!$G$36+'Scenarios'!$H$31/(1+G$5)^'Scenarios'!$H$36+'Scenarios'!$I$31/(1+G$5)^'Scenarios'!$I$36+'Scenarios'!$J$31/(1+G$5)^'Scenarios'!$J$36+'Scenarios'!$K$31/(1+G$5)^'Scenarios'!$K$36+'Scenarios'!$L$31/(1+G$5)^'Scenarios'!$L$36+('Scenarios'!$L$24*(1+$B8)*(1-$B8/'Assumptions'!$C$75))/(G$5-$B8)/(1+G$5)^'Scenarios'!$L$36+'Assumptions'!$C$11-'Assumptions'!$C$12+'Assumptions'!$G$8)/'Assumptions'!$C$7,"n.a.")</x:f>
        <x:v>26.17186499205577</x:v>
      </x:c>
      <x:c r="H8" s="4"/>
      <x:c r="I8" s="72" t="n">
        <x:v>1.1</x:v>
      </x:c>
      <x:c r="J8" s="9" t="n">
        <x:f>('Scenarios'!$O$6+('Scenarios'!$L$14*$I8*J$5*(1-'Assumptions'!$C$13))*(1+'Assumptions'!$C$22)*(1-'Assumptions'!$C$22/'Assumptions'!$C$75)/('Assumptions'!$C$21-'Assumptions'!$C$22)/(1+'Assumptions'!$C$21)^'Scenarios'!$L$36+'Assumptions'!$C$11-'Assumptions'!$C$12+'Assumptions'!$G$8)/'Assumptions'!$C$7</x:f>
        <x:v>28.10870175900931</x:v>
      </x:c>
      <x:c r="K8" s="9" t="n">
        <x:f>('Scenarios'!$O$6+('Scenarios'!$L$14*$I8*K$5*(1-'Assumptions'!$C$13))*(1+'Assumptions'!$C$22)*(1-'Assumptions'!$C$22/'Assumptions'!$C$75)/('Assumptions'!$C$21-'Assumptions'!$C$22)/(1+'Assumptions'!$C$21)^'Scenarios'!$L$36+'Assumptions'!$C$11-'Assumptions'!$C$12+'Assumptions'!$G$8)/'Assumptions'!$C$7</x:f>
        <x:v>31.722772393066812</x:v>
      </x:c>
      <x:c r="L8" s="9" t="n">
        <x:f>('Scenarios'!$O$6+('Scenarios'!$L$14*$I8*L$5*(1-'Assumptions'!$C$13))*(1+'Assumptions'!$C$22)*(1-'Assumptions'!$C$22/'Assumptions'!$C$75)/('Assumptions'!$C$21-'Assumptions'!$C$22)/(1+'Assumptions'!$C$21)^'Scenarios'!$L$36+'Assumptions'!$C$11-'Assumptions'!$C$12+'Assumptions'!$G$8)/'Assumptions'!$C$7</x:f>
        <x:v>32.94498212929985</x:v>
      </x:c>
      <x:c r="M8" s="9" t="n">
        <x:f>('Scenarios'!$O$6+('Scenarios'!$L$14*$I8*M$5*(1-'Assumptions'!$C$13))*(1+'Assumptions'!$C$22)*(1-'Assumptions'!$C$22/'Assumptions'!$C$75)/('Assumptions'!$C$21-'Assumptions'!$C$22)/(1+'Assumptions'!$C$21)^'Scenarios'!$L$36+'Assumptions'!$C$11-'Assumptions'!$C$12+'Assumptions'!$G$8)/'Assumptions'!$C$7</x:f>
        <x:v>38.95091366118182</x:v>
      </x:c>
      <x:c r="N8" s="9" t="n">
        <x:f>('Scenarios'!$O$6+('Scenarios'!$L$14*$I8*N$5*(1-'Assumptions'!$C$13))*(1+'Assumptions'!$C$22)*(1-'Assumptions'!$C$22/'Assumptions'!$C$75)/('Assumptions'!$C$21-'Assumptions'!$C$22)/(1+'Assumptions'!$C$21)^'Scenarios'!$L$36+'Assumptions'!$C$11-'Assumptions'!$C$12+'Assumptions'!$G$8)/'Assumptions'!$C$7</x:f>
        <x:v>42.56498429523933</x:v>
      </x:c>
    </x:row>
    <x:row r="9" ht="23" customHeight="1">
      <x:c r="A9" s="4"/>
      <x:c r="B9" s="68" t="n">
        <x:f>'Assumptions'!C22+0.005</x:f>
        <x:v>0.034999999999999996</x:v>
      </x:c>
      <x:c r="C9" s="218" t="n">
        <x:f>IF(C$5&gt;$B9,('Scenarios'!$C$31*'Scenarios'!$C$37/(1+C$5)^'Scenarios'!$C$36+'Scenarios'!$D$31/(1+C$5)^'Scenarios'!$D$36+'Scenarios'!$E$31/(1+C$5)^'Scenarios'!$E$36+'Scenarios'!$F$31/(1+C$5)^'Scenarios'!$F$36+'Scenarios'!$G$31/(1+C$5)^'Scenarios'!$G$36+'Scenarios'!$H$31/(1+C$5)^'Scenarios'!$H$36+'Scenarios'!$I$31/(1+C$5)^'Scenarios'!$I$36+'Scenarios'!$J$31/(1+C$5)^'Scenarios'!$J$36+'Scenarios'!$K$31/(1+C$5)^'Scenarios'!$K$36+'Scenarios'!$L$31/(1+C$5)^'Scenarios'!$L$36+('Scenarios'!$L$24*(1+$B9)*(1-$B9/'Assumptions'!$C$75))/(C$5-$B9)/(1+C$5)^'Scenarios'!$L$36+'Assumptions'!$C$11-'Assumptions'!$C$12+'Assumptions'!$G$8)/'Assumptions'!$C$7,"n.a.")</x:f>
        <x:v>38.50564266737858</x:v>
      </x:c>
      <x:c r="D9" s="218" t="n">
        <x:f>IF(D$5&gt;$B9,('Scenarios'!$C$31*'Scenarios'!$C$37/(1+D$5)^'Scenarios'!$C$36+'Scenarios'!$D$31/(1+D$5)^'Scenarios'!$D$36+'Scenarios'!$E$31/(1+D$5)^'Scenarios'!$E$36+'Scenarios'!$F$31/(1+D$5)^'Scenarios'!$F$36+'Scenarios'!$G$31/(1+D$5)^'Scenarios'!$G$36+'Scenarios'!$H$31/(1+D$5)^'Scenarios'!$H$36+'Scenarios'!$I$31/(1+D$5)^'Scenarios'!$I$36+'Scenarios'!$J$31/(1+D$5)^'Scenarios'!$J$36+'Scenarios'!$K$31/(1+D$5)^'Scenarios'!$K$36+'Scenarios'!$L$31/(1+D$5)^'Scenarios'!$L$36+('Scenarios'!$L$24*(1+$B9)*(1-$B9/'Assumptions'!$C$75))/(D$5-$B9)/(1+D$5)^'Scenarios'!$L$36+'Assumptions'!$C$11-'Assumptions'!$C$12+'Assumptions'!$G$8)/'Assumptions'!$C$7,"n.a.")</x:f>
        <x:v>34.83229151597825</x:v>
      </x:c>
      <x:c r="E9" s="218" t="n">
        <x:f>IF(E$5&gt;$B9,('Scenarios'!$C$31*'Scenarios'!$C$37/(1+E$5)^'Scenarios'!$C$36+'Scenarios'!$D$31/(1+E$5)^'Scenarios'!$D$36+'Scenarios'!$E$31/(1+E$5)^'Scenarios'!$E$36+'Scenarios'!$F$31/(1+E$5)^'Scenarios'!$F$36+'Scenarios'!$G$31/(1+E$5)^'Scenarios'!$G$36+'Scenarios'!$H$31/(1+E$5)^'Scenarios'!$H$36+'Scenarios'!$I$31/(1+E$5)^'Scenarios'!$I$36+'Scenarios'!$J$31/(1+E$5)^'Scenarios'!$J$36+'Scenarios'!$K$31/(1+E$5)^'Scenarios'!$K$36+'Scenarios'!$L$31/(1+E$5)^'Scenarios'!$L$36+('Scenarios'!$L$24*(1+$B9)*(1-$B9/'Assumptions'!$C$75))/(E$5-$B9)/(1+E$5)^'Scenarios'!$L$36+'Assumptions'!$C$11-'Assumptions'!$C$12+'Assumptions'!$G$8)/'Assumptions'!$C$7,"n.a.")</x:f>
        <x:v>31.7425086776302</x:v>
      </x:c>
      <x:c r="F9" s="218" t="n">
        <x:f>IF(F$5&gt;$B9,('Scenarios'!$C$31*'Scenarios'!$C$37/(1+F$5)^'Scenarios'!$C$36+'Scenarios'!$D$31/(1+F$5)^'Scenarios'!$D$36+'Scenarios'!$E$31/(1+F$5)^'Scenarios'!$E$36+'Scenarios'!$F$31/(1+F$5)^'Scenarios'!$F$36+'Scenarios'!$G$31/(1+F$5)^'Scenarios'!$G$36+'Scenarios'!$H$31/(1+F$5)^'Scenarios'!$H$36+'Scenarios'!$I$31/(1+F$5)^'Scenarios'!$I$36+'Scenarios'!$J$31/(1+F$5)^'Scenarios'!$J$36+'Scenarios'!$K$31/(1+F$5)^'Scenarios'!$K$36+'Scenarios'!$L$31/(1+F$5)^'Scenarios'!$L$36+('Scenarios'!$L$24*(1+$B9)*(1-$B9/'Assumptions'!$C$75))/(F$5-$B9)/(1+F$5)^'Scenarios'!$L$36+'Assumptions'!$C$11-'Assumptions'!$C$12+'Assumptions'!$G$8)/'Assumptions'!$C$7,"n.a.")</x:f>
        <x:v>29.110405009270558</x:v>
      </x:c>
      <x:c r="G9" s="218" t="n">
        <x:f>IF(G$5&gt;$B9,('Scenarios'!$C$31*'Scenarios'!$C$37/(1+G$5)^'Scenarios'!$C$36+'Scenarios'!$D$31/(1+G$5)^'Scenarios'!$D$36+'Scenarios'!$E$31/(1+G$5)^'Scenarios'!$E$36+'Scenarios'!$F$31/(1+G$5)^'Scenarios'!$F$36+'Scenarios'!$G$31/(1+G$5)^'Scenarios'!$G$36+'Scenarios'!$H$31/(1+G$5)^'Scenarios'!$H$36+'Scenarios'!$I$31/(1+G$5)^'Scenarios'!$I$36+'Scenarios'!$J$31/(1+G$5)^'Scenarios'!$J$36+'Scenarios'!$K$31/(1+G$5)^'Scenarios'!$K$36+'Scenarios'!$L$31/(1+G$5)^'Scenarios'!$L$36+('Scenarios'!$L$24*(1+$B9)*(1-$B9/'Assumptions'!$C$75))/(G$5-$B9)/(1+G$5)^'Scenarios'!$L$36+'Assumptions'!$C$11-'Assumptions'!$C$12+'Assumptions'!$G$8)/'Assumptions'!$C$7,"n.a.")</x:f>
        <x:v>26.84376367399286</x:v>
      </x:c>
      <x:c r="H9" s="4"/>
      <x:c r="I9" s="72" t="n">
        <x:v>1.2</x:v>
      </x:c>
      <x:c r="J9" s="9" t="n">
        <x:f>('Scenarios'!$O$6+('Scenarios'!$L$14*$I9*J$5*(1-'Assumptions'!$C$13))*(1+'Assumptions'!$C$22)*(1-'Assumptions'!$C$22/'Assumptions'!$C$75)/('Assumptions'!$C$21-'Assumptions'!$C$22)/(1+'Assumptions'!$C$21)^'Scenarios'!$L$36+'Assumptions'!$C$11-'Assumptions'!$C$12+'Assumptions'!$G$8)/'Assumptions'!$C$7</x:f>
        <x:v>29.751461138126356</x:v>
      </x:c>
      <x:c r="K9" s="9" t="n">
        <x:f>('Scenarios'!$O$6+('Scenarios'!$L$14*$I9*K$5*(1-'Assumptions'!$C$13))*(1+'Assumptions'!$C$22)*(1-'Assumptions'!$C$22/'Assumptions'!$C$75)/('Assumptions'!$C$21-'Assumptions'!$C$22)/(1+'Assumptions'!$C$21)^'Scenarios'!$L$36+'Assumptions'!$C$11-'Assumptions'!$C$12+'Assumptions'!$G$8)/'Assumptions'!$C$7</x:f>
        <x:v>33.69408364800727</x:v>
      </x:c>
      <x:c r="L9" s="9" t="n">
        <x:f>('Scenarios'!$O$6+('Scenarios'!$L$14*$I9*L$5*(1-'Assumptions'!$C$13))*(1+'Assumptions'!$C$22)*(1-'Assumptions'!$C$22/'Assumptions'!$C$75)/('Assumptions'!$C$21-'Assumptions'!$C$22)/(1+'Assumptions'!$C$21)^'Scenarios'!$L$36+'Assumptions'!$C$11-'Assumptions'!$C$12+'Assumptions'!$G$8)/'Assumptions'!$C$7</x:f>
        <x:v>35.0274033602615</x:v>
      </x:c>
      <x:c r="M9" s="9" t="n">
        <x:f>('Scenarios'!$O$6+('Scenarios'!$L$14*$I9*M$5*(1-'Assumptions'!$C$13))*(1+'Assumptions'!$C$22)*(1-'Assumptions'!$C$22/'Assumptions'!$C$75)/('Assumptions'!$C$21-'Assumptions'!$C$22)/(1+'Assumptions'!$C$21)^'Scenarios'!$L$36+'Assumptions'!$C$11-'Assumptions'!$C$12+'Assumptions'!$G$8)/'Assumptions'!$C$7</x:f>
        <x:v>41.57932866776909</x:v>
      </x:c>
      <x:c r="N9" s="9" t="n">
        <x:f>('Scenarios'!$O$6+('Scenarios'!$L$14*$I9*N$5*(1-'Assumptions'!$C$13))*(1+'Assumptions'!$C$22)*(1-'Assumptions'!$C$22/'Assumptions'!$C$75)/('Assumptions'!$C$21-'Assumptions'!$C$22)/(1+'Assumptions'!$C$21)^'Scenarios'!$L$36+'Assumptions'!$C$11-'Assumptions'!$C$12+'Assumptions'!$G$8)/'Assumptions'!$C$7</x:f>
        <x:v>45.52195117765001</x:v>
      </x:c>
    </x:row>
    <x:row r="10" ht="23" customHeight="1">
      <x:c r="A10" s="4"/>
      <x:c r="B10" s="68" t="n">
        <x:f>'Assumptions'!C22+0.01</x:f>
        <x:v>0.04</x:v>
      </x:c>
      <x:c r="C10" s="218" t="n">
        <x:f>IF(C$5&gt;$B10,('Scenarios'!$C$31*'Scenarios'!$C$37/(1+C$5)^'Scenarios'!$C$36+'Scenarios'!$D$31/(1+C$5)^'Scenarios'!$D$36+'Scenarios'!$E$31/(1+C$5)^'Scenarios'!$E$36+'Scenarios'!$F$31/(1+C$5)^'Scenarios'!$F$36+'Scenarios'!$G$31/(1+C$5)^'Scenarios'!$G$36+'Scenarios'!$H$31/(1+C$5)^'Scenarios'!$H$36+'Scenarios'!$I$31/(1+C$5)^'Scenarios'!$I$36+'Scenarios'!$J$31/(1+C$5)^'Scenarios'!$J$36+'Scenarios'!$K$31/(1+C$5)^'Scenarios'!$K$36+'Scenarios'!$L$31/(1+C$5)^'Scenarios'!$L$36+('Scenarios'!$L$24*(1+$B10)*(1-$B10/'Assumptions'!$C$75))/(C$5-$B10)/(1+C$5)^'Scenarios'!$L$36+'Assumptions'!$C$11-'Assumptions'!$C$12+'Assumptions'!$G$8)/'Assumptions'!$C$7,"n.a.")</x:f>
        <x:v>40.524650363166295</x:v>
      </x:c>
      <x:c r="D10" s="218" t="n">
        <x:f>IF(D$5&gt;$B10,('Scenarios'!$C$31*'Scenarios'!$C$37/(1+D$5)^'Scenarios'!$C$36+'Scenarios'!$D$31/(1+D$5)^'Scenarios'!$D$36+'Scenarios'!$E$31/(1+D$5)^'Scenarios'!$E$36+'Scenarios'!$F$31/(1+D$5)^'Scenarios'!$F$36+'Scenarios'!$G$31/(1+D$5)^'Scenarios'!$G$36+'Scenarios'!$H$31/(1+D$5)^'Scenarios'!$H$36+'Scenarios'!$I$31/(1+D$5)^'Scenarios'!$I$36+'Scenarios'!$J$31/(1+D$5)^'Scenarios'!$J$36+'Scenarios'!$K$31/(1+D$5)^'Scenarios'!$K$36+'Scenarios'!$L$31/(1+D$5)^'Scenarios'!$L$36+('Scenarios'!$L$24*(1+$B10)*(1-$B10/'Assumptions'!$C$75))/(D$5-$B10)/(1+D$5)^'Scenarios'!$L$36+'Assumptions'!$C$11-'Assumptions'!$C$12+'Assumptions'!$G$8)/'Assumptions'!$C$7,"n.a.")</x:f>
        <x:v>36.385479255911655</x:v>
      </x:c>
      <x:c r="E10" s="218" t="n">
        <x:f>IF(E$5&gt;$B10,('Scenarios'!$C$31*'Scenarios'!$C$37/(1+E$5)^'Scenarios'!$C$36+'Scenarios'!$D$31/(1+E$5)^'Scenarios'!$D$36+'Scenarios'!$E$31/(1+E$5)^'Scenarios'!$E$36+'Scenarios'!$F$31/(1+E$5)^'Scenarios'!$F$36+'Scenarios'!$G$31/(1+E$5)^'Scenarios'!$G$36+'Scenarios'!$H$31/(1+E$5)^'Scenarios'!$H$36+'Scenarios'!$I$31/(1+E$5)^'Scenarios'!$I$36+'Scenarios'!$J$31/(1+E$5)^'Scenarios'!$J$36+'Scenarios'!$K$31/(1+E$5)^'Scenarios'!$K$36+'Scenarios'!$L$31/(1+E$5)^'Scenarios'!$L$36+('Scenarios'!$L$24*(1+$B10)*(1-$B10/'Assumptions'!$C$75))/(E$5-$B10)/(1+E$5)^'Scenarios'!$L$36+'Assumptions'!$C$11-'Assumptions'!$C$12+'Assumptions'!$G$8)/'Assumptions'!$C$7,"n.a.")</x:f>
        <x:v>32.95443816518709</x:v>
      </x:c>
      <x:c r="F10" s="218" t="n">
        <x:f>IF(F$5&gt;$B10,('Scenarios'!$C$31*'Scenarios'!$C$37/(1+F$5)^'Scenarios'!$C$36+'Scenarios'!$D$31/(1+F$5)^'Scenarios'!$D$36+'Scenarios'!$E$31/(1+F$5)^'Scenarios'!$E$36+'Scenarios'!$F$31/(1+F$5)^'Scenarios'!$F$36+'Scenarios'!$G$31/(1+F$5)^'Scenarios'!$G$36+'Scenarios'!$H$31/(1+F$5)^'Scenarios'!$H$36+'Scenarios'!$I$31/(1+F$5)^'Scenarios'!$I$36+'Scenarios'!$J$31/(1+F$5)^'Scenarios'!$J$36+'Scenarios'!$K$31/(1+F$5)^'Scenarios'!$K$36+'Scenarios'!$L$31/(1+F$5)^'Scenarios'!$L$36+('Scenarios'!$L$24*(1+$B10)*(1-$B10/'Assumptions'!$C$75))/(F$5-$B10)/(1+F$5)^'Scenarios'!$L$36+'Assumptions'!$C$11-'Assumptions'!$C$12+'Assumptions'!$G$8)/'Assumptions'!$C$7,"n.a.")</x:f>
        <x:v>30.067189927570585</x:v>
      </x:c>
      <x:c r="G10" s="218" t="n">
        <x:f>IF(G$5&gt;$B10,('Scenarios'!$C$31*'Scenarios'!$C$37/(1+G$5)^'Scenarios'!$C$36+'Scenarios'!$D$31/(1+G$5)^'Scenarios'!$D$36+'Scenarios'!$E$31/(1+G$5)^'Scenarios'!$E$36+'Scenarios'!$F$31/(1+G$5)^'Scenarios'!$F$36+'Scenarios'!$G$31/(1+G$5)^'Scenarios'!$G$36+'Scenarios'!$H$31/(1+G$5)^'Scenarios'!$H$36+'Scenarios'!$I$31/(1+G$5)^'Scenarios'!$I$36+'Scenarios'!$J$31/(1+G$5)^'Scenarios'!$J$36+'Scenarios'!$K$31/(1+G$5)^'Scenarios'!$K$36+'Scenarios'!$L$31/(1+G$5)^'Scenarios'!$L$36+('Scenarios'!$L$24*(1+$B10)*(1-$B10/'Assumptions'!$C$75))/(G$5-$B10)/(1+G$5)^'Scenarios'!$L$36+'Assumptions'!$C$11-'Assumptions'!$C$12+'Assumptions'!$G$8)/'Assumptions'!$C$7,"n.a.")</x:f>
        <x:v>27.606491932294844</x:v>
      </x:c>
      <x:c r="H10" s="4"/>
      <x:c r="I10" s="72" t="n">
        <x:v>1.3</x:v>
      </x:c>
      <x:c r="J10" s="9" t="n">
        <x:f>('Scenarios'!$O$6+('Scenarios'!$L$14*$I10*J$5*(1-'Assumptions'!$C$13))*(1+'Assumptions'!$C$22)*(1-'Assumptions'!$C$22/'Assumptions'!$C$75)/('Assumptions'!$C$21-'Assumptions'!$C$22)/(1+'Assumptions'!$C$21)^'Scenarios'!$L$36+'Assumptions'!$C$11-'Assumptions'!$C$12+'Assumptions'!$G$8)/'Assumptions'!$C$7</x:f>
        <x:v>31.394220517243404</x:v>
      </x:c>
      <x:c r="K10" s="9" t="n">
        <x:f>('Scenarios'!$O$6+('Scenarios'!$L$14*$I10*K$5*(1-'Assumptions'!$C$13))*(1+'Assumptions'!$C$22)*(1-'Assumptions'!$C$22/'Assumptions'!$C$75)/('Assumptions'!$C$21-'Assumptions'!$C$22)/(1+'Assumptions'!$C$21)^'Scenarios'!$L$36+'Assumptions'!$C$11-'Assumptions'!$C$12+'Assumptions'!$G$8)/'Assumptions'!$C$7</x:f>
        <x:v>35.665394902947725</x:v>
      </x:c>
      <x:c r="L10" s="9" t="n">
        <x:f>('Scenarios'!$O$6+('Scenarios'!$L$14*$I10*L$5*(1-'Assumptions'!$C$13))*(1+'Assumptions'!$C$22)*(1-'Assumptions'!$C$22/'Assumptions'!$C$75)/('Assumptions'!$C$21-'Assumptions'!$C$22)/(1+'Assumptions'!$C$21)^'Scenarios'!$L$36+'Assumptions'!$C$11-'Assumptions'!$C$12+'Assumptions'!$G$8)/'Assumptions'!$C$7</x:f>
        <x:v>37.109824591223145</x:v>
      </x:c>
      <x:c r="M10" s="9" t="n">
        <x:f>('Scenarios'!$O$6+('Scenarios'!$L$14*$I10*M$5*(1-'Assumptions'!$C$13))*(1+'Assumptions'!$C$22)*(1-'Assumptions'!$C$22/'Assumptions'!$C$75)/('Assumptions'!$C$21-'Assumptions'!$C$22)/(1+'Assumptions'!$C$21)^'Scenarios'!$L$36+'Assumptions'!$C$11-'Assumptions'!$C$12+'Assumptions'!$G$8)/'Assumptions'!$C$7</x:f>
        <x:v>44.20774367435637</x:v>
      </x:c>
      <x:c r="N10" s="9" t="n">
        <x:f>('Scenarios'!$O$6+('Scenarios'!$L$14*$I10*N$5*(1-'Assumptions'!$C$13))*(1+'Assumptions'!$C$22)*(1-'Assumptions'!$C$22/'Assumptions'!$C$75)/('Assumptions'!$C$21-'Assumptions'!$C$22)/(1+'Assumptions'!$C$21)^'Scenarios'!$L$36+'Assumptions'!$C$11-'Assumptions'!$C$12+'Assumptions'!$G$8)/'Assumptions'!$C$7</x:f>
        <x:v>48.47891806006069</x:v>
      </x:c>
    </x:row>
    <x:row r="11" ht="23" customHeight="1">
      <x:c r="A11" s="4"/>
      <x:c r="B11" s="4"/>
      <x:c r="C11" s="4"/>
      <x:c r="D11" s="4"/>
      <x:c r="E11" s="4"/>
      <x:c r="F11" s="4"/>
      <x:c r="G11" s="4"/>
      <x:c r="H11" s="4"/>
      <x:c r="I11" s="4"/>
      <x:c r="J11" s="4"/>
      <x:c r="K11" s="4"/>
      <x:c r="L11" s="4"/>
      <x:c r="M11" s="4"/>
      <x:c r="N11" s="4"/>
    </x:row>
    <x:row r="12" ht="23" customHeight="1">
      <x:c r="A12" s="4"/>
      <x:c r="B12" s="4"/>
      <x:c r="C12" s="4"/>
      <x:c r="D12" s="4"/>
      <x:c r="E12" s="4"/>
      <x:c r="F12" s="4"/>
      <x:c r="G12" s="4"/>
      <x:c r="H12" s="4"/>
      <x:c r="I12" s="4"/>
      <x:c r="J12" s="4"/>
      <x:c r="K12" s="4"/>
      <x:c r="L12" s="4"/>
      <x:c r="M12" s="4"/>
      <x:c r="N12" s="4"/>
    </x:row>
    <x:row r="13" ht="23" customHeight="1">
      <x:c r="A13" s="4"/>
      <x:c r="B13" s="4"/>
      <x:c r="C13" s="4"/>
      <x:c r="D13" s="4"/>
      <x:c r="E13" s="4"/>
      <x:c r="F13" s="4"/>
      <x:c r="G13" s="4"/>
      <x:c r="H13" s="4"/>
      <x:c r="I13" s="4"/>
      <x:c r="J13" s="4"/>
      <x:c r="K13" s="4"/>
      <x:c r="L13" s="4"/>
      <x:c r="M13" s="4"/>
      <x:c r="N13" s="4"/>
    </x:row>
    <x:row r="14" ht="25" customHeight="1">
      <x:c r="A14" s="4"/>
      <x:c r="B14" s="57" t="str">
        <x:v>Terminal ROIC vs. Growth (explicit forecast fixed)</x:v>
      </x:c>
      <x:c r="C14" s="58"/>
      <x:c r="D14" s="58"/>
      <x:c r="E14" s="58"/>
      <x:c r="F14" s="58"/>
      <x:c r="G14" s="58"/>
      <x:c r="H14" s="4"/>
      <x:c r="I14" s="4"/>
      <x:c r="J14" s="4"/>
      <x:c r="K14" s="4"/>
      <x:c r="L14" s="4"/>
      <x:c r="M14" s="4"/>
      <x:c r="N14" s="4"/>
    </x:row>
    <x:row r="15" ht="34" customHeight="1">
      <x:c r="A15" s="4"/>
      <x:c r="B15" s="32" t="str">
        <x:v>Growth / ROIC</x:v>
      </x:c>
      <x:c r="C15" s="76" t="n">
        <x:f>'Assumptions'!C75-0.1</x:f>
        <x:v>0.1</x:v>
      </x:c>
      <x:c r="D15" s="76" t="n">
        <x:f>'Assumptions'!C75-0.05</x:f>
        <x:v>0.15000000000000002</x:v>
      </x:c>
      <x:c r="E15" s="76" t="n">
        <x:f>'Assumptions'!C75+0</x:f>
        <x:v>0.2</x:v>
      </x:c>
      <x:c r="F15" s="76" t="n">
        <x:f>'Assumptions'!C75+0.05</x:f>
        <x:v>0.25</x:v>
      </x:c>
      <x:c r="G15" s="76" t="n">
        <x:f>'Assumptions'!C75+0.1</x:f>
        <x:v>0.30000000000000004</x:v>
      </x:c>
      <x:c r="H15" s="4"/>
      <x:c r="I15" s="4"/>
      <x:c r="J15" s="4"/>
      <x:c r="K15" s="4"/>
      <x:c r="L15" s="4"/>
      <x:c r="M15" s="4"/>
      <x:c r="N15" s="4"/>
    </x:row>
    <x:row r="16" ht="23" customHeight="1">
      <x:c r="A16" s="4"/>
      <x:c r="B16" s="68" t="n">
        <x:f>'Assumptions'!C22-0.01</x:f>
        <x:v>0.019999999999999997</x:v>
      </x:c>
      <x:c r="C16" s="218" t="n">
        <x:f>('Scenarios'!$O$6+'Scenarios'!$L$24*(1+$B16)*(1-$B16/C$15)/('Assumptions'!C21-$B16)/(1+'Assumptions'!C21)^'Scenarios'!$L$36+'Assumptions'!$C$11-'Assumptions'!$C$12+'Assumptions'!$G$8)/'Assumptions'!$C$7</x:f>
        <x:v>26.881483427523914</x:v>
      </x:c>
      <x:c r="D16" s="218" t="n">
        <x:f>('Scenarios'!$O$6+'Scenarios'!$L$24*(1+$B16)*(1-$B16/D$15)/('Assumptions'!C21-$B16)/(1+'Assumptions'!C21)^'Scenarios'!$L$36+'Assumptions'!$C$11-'Assumptions'!$C$12+'Assumptions'!$G$8)/'Assumptions'!$C$7</x:f>
        <x:v>28.28507799742409</x:v>
      </x:c>
      <x:c r="E16" s="218" t="n">
        <x:f>('Scenarios'!$O$6+'Scenarios'!$L$24*(1+$B16)*(1-$B16/E$15)/('Assumptions'!C21-$B16)/(1+'Assumptions'!C21)^'Scenarios'!$L$36+'Assumptions'!$C$11-'Assumptions'!$C$12+'Assumptions'!$G$8)/'Assumptions'!$C$7</x:f>
        <x:v>28.98687528237418</x:v>
      </x:c>
      <x:c r="F16" s="218" t="n">
        <x:f>('Scenarios'!$O$6+'Scenarios'!$L$24*(1+$B16)*(1-$B16/F$15)/('Assumptions'!C21-$B16)/(1+'Assumptions'!C21)^'Scenarios'!$L$36+'Assumptions'!$C$11-'Assumptions'!$C$12+'Assumptions'!$G$8)/'Assumptions'!$C$7</x:f>
        <x:v>29.407953653344233</x:v>
      </x:c>
      <x:c r="G16" s="218" t="n">
        <x:f>('Scenarios'!$O$6+'Scenarios'!$L$24*(1+$B16)*(1-$B16/G$15)/('Assumptions'!C21-$B16)/(1+'Assumptions'!C21)^'Scenarios'!$L$36+'Assumptions'!$C$11-'Assumptions'!$C$12+'Assumptions'!$G$8)/'Assumptions'!$C$7</x:f>
        <x:v>29.688672567324264</x:v>
      </x:c>
      <x:c r="H16" s="4"/>
      <x:c r="I16" s="4"/>
      <x:c r="J16" s="4"/>
      <x:c r="K16" s="4"/>
      <x:c r="L16" s="4"/>
      <x:c r="M16" s="4"/>
      <x:c r="N16" s="4"/>
    </x:row>
    <x:row r="17" ht="23" customHeight="1">
      <x:c r="A17" s="4"/>
      <x:c r="B17" s="68" t="n">
        <x:f>'Assumptions'!C22-0.005</x:f>
        <x:v>0.024999999999999998</x:v>
      </x:c>
      <x:c r="C17" s="218" t="n">
        <x:f>('Scenarios'!$O$6+'Scenarios'!$L$24*(1+$B17)*(1-$B17/C$15)/('Assumptions'!C21-$B17)/(1+'Assumptions'!C21)^'Scenarios'!$L$36+'Assumptions'!$C$11-'Assumptions'!$C$12+'Assumptions'!$G$8)/'Assumptions'!$C$7</x:f>
        <x:v>26.966741610985007</x:v>
      </x:c>
      <x:c r="D17" s="218" t="n">
        <x:f>('Scenarios'!$O$6+'Scenarios'!$L$24*(1+$B17)*(1-$B17/D$15)/('Assumptions'!C21-$B17)/(1+'Assumptions'!C21)^'Scenarios'!$L$36+'Assumptions'!$C$11-'Assumptions'!$C$12+'Assumptions'!$G$8)/'Assumptions'!$C$7</x:f>
        <x:v>28.847674169014258</x:v>
      </x:c>
      <x:c r="E17" s="218" t="n">
        <x:f>('Scenarios'!$O$6+'Scenarios'!$L$24*(1+$B17)*(1-$B17/E$15)/('Assumptions'!C21-$B17)/(1+'Assumptions'!C21)^'Scenarios'!$L$36+'Assumptions'!$C$11-'Assumptions'!$C$12+'Assumptions'!$G$8)/'Assumptions'!$C$7</x:f>
        <x:v>29.78814044802888</x:v>
      </x:c>
      <x:c r="F17" s="218" t="n">
        <x:f>('Scenarios'!$O$6+'Scenarios'!$L$24*(1+$B17)*(1-$B17/F$15)/('Assumptions'!C21-$B17)/(1+'Assumptions'!C21)^'Scenarios'!$L$36+'Assumptions'!$C$11-'Assumptions'!$C$12+'Assumptions'!$G$8)/'Assumptions'!$C$7</x:f>
        <x:v>30.352420215437654</x:v>
      </x:c>
      <x:c r="G17" s="218" t="n">
        <x:f>('Scenarios'!$O$6+'Scenarios'!$L$24*(1+$B17)*(1-$B17/G$15)/('Assumptions'!C21-$B17)/(1+'Assumptions'!C21)^'Scenarios'!$L$36+'Assumptions'!$C$11-'Assumptions'!$C$12+'Assumptions'!$G$8)/'Assumptions'!$C$7</x:f>
        <x:v>30.728606727043505</x:v>
      </x:c>
      <x:c r="H17" s="4"/>
      <x:c r="I17" s="4"/>
      <x:c r="J17" s="4"/>
      <x:c r="K17" s="4"/>
      <x:c r="L17" s="4"/>
      <x:c r="M17" s="4"/>
      <x:c r="N17" s="4"/>
    </x:row>
    <x:row r="18" ht="23" customHeight="1">
      <x:c r="A18" s="4"/>
      <x:c r="B18" s="68" t="n">
        <x:f>'Assumptions'!C22+0</x:f>
        <x:v>0.03</x:v>
      </x:c>
      <x:c r="C18" s="218" t="n">
        <x:f>('Scenarios'!$O$6+'Scenarios'!$L$24*(1+$B18)*(1-$B18/C$15)/('Assumptions'!C21-$B18)/(1+'Assumptions'!C21)^'Scenarios'!$L$36+'Assumptions'!$C$11-'Assumptions'!$C$12+'Assumptions'!$G$8)/'Assumptions'!$C$7</x:f>
        <x:v>27.052413836008025</x:v>
      </x:c>
      <x:c r="D18" s="218" t="n">
        <x:f>('Scenarios'!$O$6+'Scenarios'!$L$24*(1+$B18)*(1-$B18/D$15)/('Assumptions'!C21-$B18)/(1+'Assumptions'!C21)^'Scenarios'!$L$36+'Assumptions'!$C$11-'Assumptions'!$C$12+'Assumptions'!$G$8)/'Assumptions'!$C$7</x:f>
        <x:v>29.482994585620347</x:v>
      </x:c>
      <x:c r="E18" s="218" t="n">
        <x:f>('Scenarios'!$O$6+'Scenarios'!$L$24*(1+$B18)*(1-$B18/E$15)/('Assumptions'!C21-$B18)/(1+'Assumptions'!C21)^'Scenarios'!$L$36+'Assumptions'!$C$11-'Assumptions'!$C$12+'Assumptions'!$G$8)/'Assumptions'!$C$7</x:f>
        <x:v>30.698284960426506</x:v>
      </x:c>
      <x:c r="F18" s="218" t="n">
        <x:f>('Scenarios'!$O$6+'Scenarios'!$L$24*(1+$B18)*(1-$B18/F$15)/('Assumptions'!C21-$B18)/(1+'Assumptions'!C21)^'Scenarios'!$L$36+'Assumptions'!$C$11-'Assumptions'!$C$12+'Assumptions'!$G$8)/'Assumptions'!$C$7</x:f>
        <x:v>31.427459185310205</x:v>
      </x:c>
      <x:c r="G18" s="218" t="n">
        <x:f>('Scenarios'!$O$6+'Scenarios'!$L$24*(1+$B18)*(1-$B18/G$15)/('Assumptions'!C21-$B18)/(1+'Assumptions'!C21)^'Scenarios'!$L$36+'Assumptions'!$C$11-'Assumptions'!$C$12+'Assumptions'!$G$8)/'Assumptions'!$C$7</x:f>
        <x:v>31.913575335232668</x:v>
      </x:c>
      <x:c r="H18" s="4"/>
      <x:c r="I18" s="4"/>
      <x:c r="J18" s="4"/>
      <x:c r="K18" s="4"/>
      <x:c r="L18" s="4"/>
      <x:c r="M18" s="4"/>
      <x:c r="N18" s="4"/>
    </x:row>
    <x:row r="19" ht="23" customHeight="1">
      <x:c r="A19" s="4"/>
      <x:c r="B19" s="68" t="n">
        <x:f>'Assumptions'!C22+0.005</x:f>
        <x:v>0.034999999999999996</x:v>
      </x:c>
      <x:c r="C19" s="218" t="n">
        <x:f>('Scenarios'!$O$6+'Scenarios'!$L$24*(1+$B19)*(1-$B19/C$15)/('Assumptions'!C21-$B19)/(1+'Assumptions'!C21)^'Scenarios'!$L$36+'Assumptions'!$C$11-'Assumptions'!$C$12+'Assumptions'!$G$8)/'Assumptions'!$C$7</x:f>
        <x:v>27.13859593149811</x:v>
      </x:c>
      <x:c r="D19" s="218" t="n">
        <x:f>('Scenarios'!$O$6+'Scenarios'!$L$24*(1+$B19)*(1-$B19/D$15)/('Assumptions'!C21-$B19)/(1+'Assumptions'!C21)^'Scenarios'!$L$36+'Assumptions'!$C$11-'Assumptions'!$C$12+'Assumptions'!$G$8)/'Assumptions'!$C$7</x:f>
        <x:v>30.20787109558617</x:v>
      </x:c>
      <x:c r="E19" s="218" t="n">
        <x:f>('Scenarios'!$O$6+'Scenarios'!$L$24*(1+$B19)*(1-$B19/E$15)/('Assumptions'!C21-$B19)/(1+'Assumptions'!C21)^'Scenarios'!$L$36+'Assumptions'!$C$11-'Assumptions'!$C$12+'Assumptions'!$G$8)/'Assumptions'!$C$7</x:f>
        <x:v>31.7425086776302</x:v>
      </x:c>
      <x:c r="F19" s="218" t="n">
        <x:f>('Scenarios'!$O$6+'Scenarios'!$L$24*(1+$B19)*(1-$B19/F$15)/('Assumptions'!C21-$B19)/(1+'Assumptions'!C21)^'Scenarios'!$L$36+'Assumptions'!$C$11-'Assumptions'!$C$12+'Assumptions'!$G$8)/'Assumptions'!$C$7</x:f>
        <x:v>32.663291226856614</x:v>
      </x:c>
      <x:c r="G19" s="218" t="n">
        <x:f>('Scenarios'!$O$6+'Scenarios'!$L$24*(1+$B19)*(1-$B19/G$15)/('Assumptions'!C21-$B19)/(1+'Assumptions'!C21)^'Scenarios'!$L$36+'Assumptions'!$C$11-'Assumptions'!$C$12+'Assumptions'!$G$8)/'Assumptions'!$C$7</x:f>
        <x:v>33.277146259674225</x:v>
      </x:c>
      <x:c r="H19" s="4"/>
      <x:c r="I19" s="4"/>
      <x:c r="J19" s="4"/>
      <x:c r="K19" s="4"/>
      <x:c r="L19" s="4"/>
      <x:c r="M19" s="4"/>
      <x:c r="N19" s="4"/>
    </x:row>
    <x:row r="20" ht="23" customHeight="1">
      <x:c r="A20" s="4"/>
      <x:c r="B20" s="68" t="n">
        <x:f>'Assumptions'!C22+0.01</x:f>
        <x:v>0.04</x:v>
      </x:c>
      <x:c r="C20" s="218" t="n">
        <x:f>('Scenarios'!$O$6+'Scenarios'!$L$24*(1+$B20)*(1-$B20/C$15)/('Assumptions'!C21-$B20)/(1+'Assumptions'!C21)^'Scenarios'!$L$36+'Assumptions'!$C$11-'Assumptions'!$C$12+'Assumptions'!$G$8)/'Assumptions'!$C$7</x:f>
        <x:v>27.225415771070764</x:v>
      </x:c>
      <x:c r="D20" s="218" t="n">
        <x:f>('Scenarios'!$O$6+'Scenarios'!$L$24*(1+$B20)*(1-$B20/D$15)/('Assumptions'!C21-$B20)/(1+'Assumptions'!C21)^'Scenarios'!$L$36+'Assumptions'!$C$11-'Assumptions'!$C$12+'Assumptions'!$G$8)/'Assumptions'!$C$7</x:f>
        <x:v>31.044764033814985</x:v>
      </x:c>
      <x:c r="E20" s="218" t="n">
        <x:f>('Scenarios'!$O$6+'Scenarios'!$L$24*(1+$B20)*(1-$B20/E$15)/('Assumptions'!C21-$B20)/(1+'Assumptions'!C21)^'Scenarios'!$L$36+'Assumptions'!$C$11-'Assumptions'!$C$12+'Assumptions'!$G$8)/'Assumptions'!$C$7</x:f>
        <x:v>32.95443816518709</x:v>
      </x:c>
      <x:c r="F20" s="218" t="n">
        <x:f>('Scenarios'!$O$6+'Scenarios'!$L$24*(1+$B20)*(1-$B20/F$15)/('Assumptions'!C21-$B20)/(1+'Assumptions'!C21)^'Scenarios'!$L$36+'Assumptions'!$C$11-'Assumptions'!$C$12+'Assumptions'!$G$8)/'Assumptions'!$C$7</x:f>
        <x:v>34.10024264401036</x:v>
      </x:c>
      <x:c r="G20" s="218" t="n">
        <x:f>('Scenarios'!$O$6+'Scenarios'!$L$24*(1+$B20)*(1-$B20/G$15)/('Assumptions'!C21-$B20)/(1+'Assumptions'!C21)^'Scenarios'!$L$36+'Assumptions'!$C$11-'Assumptions'!$C$12+'Assumptions'!$G$8)/'Assumptions'!$C$7</x:f>
        <x:v>34.8641122965592</x:v>
      </x:c>
      <x:c r="H20" s="4"/>
      <x:c r="I20" s="4"/>
      <x:c r="J20" s="4"/>
      <x:c r="K20" s="4"/>
      <x:c r="L20" s="4"/>
      <x:c r="M20" s="4"/>
      <x:c r="N20" s="4"/>
    </x:row>
    <x:row r="21" ht="23" customHeight="1">
      <x:c r="A21" s="4"/>
      <x:c r="B21" s="4"/>
      <x:c r="C21" s="4"/>
      <x:c r="D21" s="4"/>
      <x:c r="E21" s="4"/>
      <x:c r="F21" s="4"/>
      <x:c r="G21" s="4"/>
      <x:c r="H21" s="4"/>
      <x:c r="I21" s="4"/>
      <x:c r="J21" s="4"/>
      <x:c r="K21" s="4"/>
      <x:c r="L21" s="4"/>
      <x:c r="M21" s="4"/>
      <x:c r="N21" s="4"/>
    </x:row>
    <x:row r="22" ht="23" customHeight="1">
      <x:c r="A22" s="4"/>
      <x:c r="B22" s="4"/>
      <x:c r="C22" s="4"/>
      <x:c r="D22" s="4"/>
      <x:c r="E22" s="4"/>
      <x:c r="F22" s="4"/>
      <x:c r="G22" s="4"/>
      <x:c r="H22" s="4"/>
      <x:c r="I22" s="4"/>
      <x:c r="J22" s="4"/>
      <x:c r="K22" s="4"/>
      <x:c r="L22" s="4"/>
      <x:c r="M22" s="4"/>
      <x:c r="N22" s="4"/>
    </x:row>
    <x:row r="23" ht="23" customHeight="1">
      <x:c r="A23" s="4"/>
      <x:c r="B23" s="4"/>
      <x:c r="C23" s="4"/>
      <x:c r="D23" s="4"/>
      <x:c r="E23" s="4"/>
      <x:c r="F23" s="4"/>
      <x:c r="G23" s="4"/>
      <x:c r="H23" s="4"/>
      <x:c r="I23" s="4"/>
      <x:c r="J23" s="4"/>
      <x:c r="K23" s="4"/>
      <x:c r="L23" s="4"/>
      <x:c r="M23" s="4"/>
      <x:c r="N23" s="4"/>
    </x:row>
    <x:row r="24" ht="25" customHeight="1">
      <x:c r="A24" s="4"/>
      <x:c r="B24" s="57" t="str">
        <x:v>Terminal Multiple vs. EBITDA Margin</x:v>
      </x:c>
      <x:c r="C24" s="58"/>
      <x:c r="D24" s="58"/>
      <x:c r="E24" s="58"/>
      <x:c r="F24" s="58"/>
      <x:c r="G24" s="58"/>
      <x:c r="H24" s="4"/>
      <x:c r="I24" s="4"/>
      <x:c r="J24" s="4"/>
      <x:c r="K24" s="4"/>
      <x:c r="L24" s="4"/>
      <x:c r="M24" s="4"/>
      <x:c r="N24" s="4"/>
    </x:row>
    <x:row r="25" ht="34" customHeight="1">
      <x:c r="A25" s="4"/>
      <x:c r="B25" s="32" t="str">
        <x:v>Exit multiple / EBITDA margin</x:v>
      </x:c>
      <x:c r="C25" s="76" t="n">
        <x:f>'Scenarios'!L35-0.02</x:f>
        <x:v>0.15176361842358835</x:v>
      </x:c>
      <x:c r="D25" s="76" t="n">
        <x:f>'Scenarios'!L35-0.01</x:f>
        <x:v>0.16176361842358833</x:v>
      </x:c>
      <x:c r="E25" s="76" t="n">
        <x:f>'Scenarios'!L35+0</x:f>
        <x:v>0.17176361842358834</x:v>
      </x:c>
      <x:c r="F25" s="76" t="n">
        <x:f>'Scenarios'!L35+0.01</x:f>
        <x:v>0.18176361842358835</x:v>
      </x:c>
      <x:c r="G25" s="76" t="n">
        <x:f>'Scenarios'!L35+0.02</x:f>
        <x:v>0.19176361842358833</x:v>
      </x:c>
      <x:c r="H25" s="4"/>
      <x:c r="I25" s="4"/>
      <x:c r="J25" s="4"/>
      <x:c r="K25" s="4"/>
      <x:c r="L25" s="4"/>
      <x:c r="M25" s="4"/>
      <x:c r="N25" s="4"/>
    </x:row>
    <x:row r="26" ht="23" customHeight="1">
      <x:c r="A26" s="4"/>
      <x:c r="B26" s="220" t="n">
        <x:f>'Assumptions'!C23-4</x:f>
        <x:v>2.886946830369812</x:v>
      </x:c>
      <x:c r="C26" s="218" t="n">
        <x:f>('Scenarios'!$O$6+'Scenarios'!$L$14*C$25*$B26/(1+'Assumptions'!$C$21)^'Scenarios'!$L$36+'Assumptions'!$C$11-'Assumptions'!$C$12+'Assumptions'!$G$8)/'Assumptions'!$C$7</x:f>
        <x:v>17.690393796738114</x:v>
      </x:c>
      <x:c r="D26" s="218" t="n">
        <x:f>('Scenarios'!$O$6+'Scenarios'!$L$14*D$25*$B26/(1+'Assumptions'!$C$21)^'Scenarios'!$L$36+'Assumptions'!$C$11-'Assumptions'!$C$12+'Assumptions'!$G$8)/'Assumptions'!$C$7</x:f>
        <x:v>18.194601938814607</x:v>
      </x:c>
      <x:c r="E26" s="218" t="n">
        <x:f>('Scenarios'!$O$6+'Scenarios'!$L$14*E$25*$B26/(1+'Assumptions'!$C$21)^'Scenarios'!$L$36+'Assumptions'!$C$11-'Assumptions'!$C$12+'Assumptions'!$G$8)/'Assumptions'!$C$7</x:f>
        <x:v>18.6988100808911</x:v>
      </x:c>
      <x:c r="F26" s="218" t="n">
        <x:f>('Scenarios'!$O$6+'Scenarios'!$L$14*F$25*$B26/(1+'Assumptions'!$C$21)^'Scenarios'!$L$36+'Assumptions'!$C$11-'Assumptions'!$C$12+'Assumptions'!$G$8)/'Assumptions'!$C$7</x:f>
        <x:v>19.203018222967593</x:v>
      </x:c>
      <x:c r="G26" s="218" t="n">
        <x:f>('Scenarios'!$O$6+'Scenarios'!$L$14*G$25*$B26/(1+'Assumptions'!$C$21)^'Scenarios'!$L$36+'Assumptions'!$C$11-'Assumptions'!$C$12+'Assumptions'!$G$8)/'Assumptions'!$C$7</x:f>
        <x:v>19.707226365044086</x:v>
      </x:c>
      <x:c r="H26" s="4"/>
      <x:c r="I26" s="4"/>
      <x:c r="J26" s="4"/>
      <x:c r="K26" s="4"/>
      <x:c r="L26" s="4"/>
      <x:c r="M26" s="4"/>
      <x:c r="N26" s="4"/>
    </x:row>
    <x:row r="27" ht="23" customHeight="1">
      <x:c r="A27" s="4"/>
      <x:c r="B27" s="220" t="n">
        <x:f>'Assumptions'!C23-2</x:f>
        <x:v>4.886946830369812</x:v>
      </x:c>
      <x:c r="C27" s="218" t="n">
        <x:f>('Scenarios'!$O$6+'Scenarios'!$L$14*C$25*$B27/(1+'Assumptions'!$C$21)^'Scenarios'!$L$36+'Assumptions'!$C$11-'Assumptions'!$C$12+'Assumptions'!$G$8)/'Assumptions'!$C$7</x:f>
        <x:v>22.99152724853509</x:v>
      </x:c>
      <x:c r="D27" s="218" t="n">
        <x:f>('Scenarios'!$O$6+'Scenarios'!$L$14*D$25*$B27/(1+'Assumptions'!$C$21)^'Scenarios'!$L$36+'Assumptions'!$C$11-'Assumptions'!$C$12+'Assumptions'!$G$8)/'Assumptions'!$C$7</x:f>
        <x:v>23.84503738451904</x:v>
      </x:c>
      <x:c r="E27" s="218" t="n">
        <x:f>('Scenarios'!$O$6+'Scenarios'!$L$14*E$25*$B27/(1+'Assumptions'!$C$21)^'Scenarios'!$L$36+'Assumptions'!$C$11-'Assumptions'!$C$12+'Assumptions'!$G$8)/'Assumptions'!$C$7</x:f>
        <x:v>24.698547520502984</x:v>
      </x:c>
      <x:c r="F27" s="218" t="n">
        <x:f>('Scenarios'!$O$6+'Scenarios'!$L$14*F$25*$B27/(1+'Assumptions'!$C$21)^'Scenarios'!$L$36+'Assumptions'!$C$11-'Assumptions'!$C$12+'Assumptions'!$G$8)/'Assumptions'!$C$7</x:f>
        <x:v>25.552057656486934</x:v>
      </x:c>
      <x:c r="G27" s="218" t="n">
        <x:f>('Scenarios'!$O$6+'Scenarios'!$L$14*G$25*$B27/(1+'Assumptions'!$C$21)^'Scenarios'!$L$36+'Assumptions'!$C$11-'Assumptions'!$C$12+'Assumptions'!$G$8)/'Assumptions'!$C$7</x:f>
        <x:v>26.405567792470883</x:v>
      </x:c>
      <x:c r="H27" s="4"/>
      <x:c r="I27" s="4"/>
      <x:c r="J27" s="4"/>
      <x:c r="K27" s="4"/>
      <x:c r="L27" s="4"/>
      <x:c r="M27" s="4"/>
      <x:c r="N27" s="4"/>
    </x:row>
    <x:row r="28" ht="23" customHeight="1">
      <x:c r="A28" s="4"/>
      <x:c r="B28" s="220" t="n">
        <x:f>'Assumptions'!C23+0</x:f>
        <x:v>6.886946830369812</x:v>
      </x:c>
      <x:c r="C28" s="218" t="n">
        <x:f>('Scenarios'!$O$6+'Scenarios'!$L$14*C$25*$B28/(1+'Assumptions'!$C$21)^'Scenarios'!$L$36+'Assumptions'!$C$11-'Assumptions'!$C$12+'Assumptions'!$G$8)/'Assumptions'!$C$7</x:f>
        <x:v>28.292660700332064</x:v>
      </x:c>
      <x:c r="D28" s="218" t="n">
        <x:f>('Scenarios'!$O$6+'Scenarios'!$L$14*D$25*$B28/(1+'Assumptions'!$C$21)^'Scenarios'!$L$36+'Assumptions'!$C$11-'Assumptions'!$C$12+'Assumptions'!$G$8)/'Assumptions'!$C$7</x:f>
        <x:v>29.49547283022347</x:v>
      </x:c>
      <x:c r="E28" s="218" t="n">
        <x:f>('Scenarios'!$O$6+'Scenarios'!$L$14*E$25*$B28/(1+'Assumptions'!$C$21)^'Scenarios'!$L$36+'Assumptions'!$C$11-'Assumptions'!$C$12+'Assumptions'!$G$8)/'Assumptions'!$C$7</x:f>
        <x:v>30.69828496011488</x:v>
      </x:c>
      <x:c r="F28" s="218" t="n">
        <x:f>('Scenarios'!$O$6+'Scenarios'!$L$14*F$25*$B28/(1+'Assumptions'!$C$21)^'Scenarios'!$L$36+'Assumptions'!$C$11-'Assumptions'!$C$12+'Assumptions'!$G$8)/'Assumptions'!$C$7</x:f>
        <x:v>31.90109709000628</x:v>
      </x:c>
      <x:c r="G28" s="218" t="n">
        <x:f>('Scenarios'!$O$6+'Scenarios'!$L$14*G$25*$B28/(1+'Assumptions'!$C$21)^'Scenarios'!$L$36+'Assumptions'!$C$11-'Assumptions'!$C$12+'Assumptions'!$G$8)/'Assumptions'!$C$7</x:f>
        <x:v>33.10390921989769</x:v>
      </x:c>
      <x:c r="H28" s="4"/>
      <x:c r="I28" s="4"/>
      <x:c r="J28" s="4"/>
      <x:c r="K28" s="4"/>
      <x:c r="L28" s="4"/>
      <x:c r="M28" s="4"/>
      <x:c r="N28" s="4"/>
    </x:row>
    <x:row r="29" ht="23" customHeight="1">
      <x:c r="A29" s="4"/>
      <x:c r="B29" s="220" t="n">
        <x:f>'Assumptions'!C23+2</x:f>
        <x:v>8.886946830369812</x:v>
      </x:c>
      <x:c r="C29" s="218" t="n">
        <x:f>('Scenarios'!$O$6+'Scenarios'!$L$14*C$25*$B29/(1+'Assumptions'!$C$21)^'Scenarios'!$L$36+'Assumptions'!$C$11-'Assumptions'!$C$12+'Assumptions'!$G$8)/'Assumptions'!$C$7</x:f>
        <x:v>33.59379415212904</x:v>
      </x:c>
      <x:c r="D29" s="218" t="n">
        <x:f>('Scenarios'!$O$6+'Scenarios'!$L$14*D$25*$B29/(1+'Assumptions'!$C$21)^'Scenarios'!$L$36+'Assumptions'!$C$11-'Assumptions'!$C$12+'Assumptions'!$G$8)/'Assumptions'!$C$7</x:f>
        <x:v>35.14590827592791</x:v>
      </x:c>
      <x:c r="E29" s="218" t="n">
        <x:f>('Scenarios'!$O$6+'Scenarios'!$L$14*E$25*$B29/(1+'Assumptions'!$C$21)^'Scenarios'!$L$36+'Assumptions'!$C$11-'Assumptions'!$C$12+'Assumptions'!$G$8)/'Assumptions'!$C$7</x:f>
        <x:v>36.69802239972677</x:v>
      </x:c>
      <x:c r="F29" s="218" t="n">
        <x:f>('Scenarios'!$O$6+'Scenarios'!$L$14*F$25*$B29/(1+'Assumptions'!$C$21)^'Scenarios'!$L$36+'Assumptions'!$C$11-'Assumptions'!$C$12+'Assumptions'!$G$8)/'Assumptions'!$C$7</x:f>
        <x:v>38.250136523525626</x:v>
      </x:c>
      <x:c r="G29" s="218" t="n">
        <x:f>('Scenarios'!$O$6+'Scenarios'!$L$14*G$25*$B29/(1+'Assumptions'!$C$21)^'Scenarios'!$L$36+'Assumptions'!$C$11-'Assumptions'!$C$12+'Assumptions'!$G$8)/'Assumptions'!$C$7</x:f>
        <x:v>39.802250647324485</x:v>
      </x:c>
      <x:c r="H29" s="4"/>
      <x:c r="I29" s="4"/>
      <x:c r="J29" s="4"/>
      <x:c r="K29" s="4"/>
      <x:c r="L29" s="4"/>
      <x:c r="M29" s="4"/>
      <x:c r="N29" s="4"/>
    </x:row>
    <x:row r="30" ht="23" customHeight="1">
      <x:c r="A30" s="4"/>
      <x:c r="B30" s="220" t="n">
        <x:f>'Assumptions'!C23+4</x:f>
        <x:v>10.886946830369812</x:v>
      </x:c>
      <x:c r="C30" s="218" t="n">
        <x:f>('Scenarios'!$O$6+'Scenarios'!$L$14*C$25*$B30/(1+'Assumptions'!$C$21)^'Scenarios'!$L$36+'Assumptions'!$C$11-'Assumptions'!$C$12+'Assumptions'!$G$8)/'Assumptions'!$C$7</x:f>
        <x:v>38.894927603926014</x:v>
      </x:c>
      <x:c r="D30" s="218" t="n">
        <x:f>('Scenarios'!$O$6+'Scenarios'!$L$14*D$25*$B30/(1+'Assumptions'!$C$21)^'Scenarios'!$L$36+'Assumptions'!$C$11-'Assumptions'!$C$12+'Assumptions'!$G$8)/'Assumptions'!$C$7</x:f>
        <x:v>40.79634372163233</x:v>
      </x:c>
      <x:c r="E30" s="218" t="n">
        <x:f>('Scenarios'!$O$6+'Scenarios'!$L$14*E$25*$B30/(1+'Assumptions'!$C$21)^'Scenarios'!$L$36+'Assumptions'!$C$11-'Assumptions'!$C$12+'Assumptions'!$G$8)/'Assumptions'!$C$7</x:f>
        <x:v>42.69775983933865</x:v>
      </x:c>
      <x:c r="F30" s="218" t="n">
        <x:f>('Scenarios'!$O$6+'Scenarios'!$L$14*F$25*$B30/(1+'Assumptions'!$C$21)^'Scenarios'!$L$36+'Assumptions'!$C$11-'Assumptions'!$C$12+'Assumptions'!$G$8)/'Assumptions'!$C$7</x:f>
        <x:v>44.59917595704497</x:v>
      </x:c>
      <x:c r="G30" s="218" t="n">
        <x:f>('Scenarios'!$O$6+'Scenarios'!$L$14*G$25*$B30/(1+'Assumptions'!$C$21)^'Scenarios'!$L$36+'Assumptions'!$C$11-'Assumptions'!$C$12+'Assumptions'!$G$8)/'Assumptions'!$C$7</x:f>
        <x:v>46.50059207475128</x:v>
      </x:c>
      <x:c r="H30" s="4"/>
      <x:c r="I30" s="4"/>
      <x:c r="J30" s="4"/>
      <x:c r="K30" s="4"/>
      <x:c r="L30" s="4"/>
      <x:c r="M30" s="4"/>
      <x:c r="N30" s="4"/>
    </x:row>
    <x:row r="31" ht="23" customHeight="1">
      <x:c r="A31" s="4"/>
      <x:c r="B31" s="4"/>
      <x:c r="C31" s="4"/>
      <x:c r="D31" s="4"/>
      <x:c r="E31" s="4"/>
      <x:c r="F31" s="4"/>
      <x:c r="G31" s="4"/>
      <x:c r="H31" s="4"/>
      <x:c r="I31" s="4"/>
      <x:c r="J31" s="4"/>
      <x:c r="K31" s="4"/>
      <x:c r="L31" s="4"/>
      <x:c r="M31" s="4"/>
      <x:c r="N31" s="4"/>
    </x:row>
    <x:row r="32" ht="23" customHeight="1">
      <x:c r="A32" s="4"/>
      <x:c r="B32" s="4"/>
      <x:c r="C32" s="4"/>
      <x:c r="D32" s="4"/>
      <x:c r="E32" s="4"/>
      <x:c r="F32" s="4"/>
      <x:c r="G32" s="4"/>
      <x:c r="H32" s="4"/>
      <x:c r="I32" s="4"/>
      <x:c r="J32" s="4"/>
      <x:c r="K32" s="4"/>
      <x:c r="L32" s="4"/>
      <x:c r="M32" s="4"/>
      <x:c r="N32" s="4"/>
    </x:row>
    <x:row r="33" ht="23" customHeight="1">
      <x:c r="A33" s="4"/>
      <x:c r="B33" s="4"/>
      <x:c r="C33" s="4"/>
      <x:c r="D33" s="4"/>
      <x:c r="E33" s="4"/>
      <x:c r="F33" s="4"/>
      <x:c r="G33" s="4"/>
      <x:c r="H33" s="4"/>
      <x:c r="I33" s="4"/>
      <x:c r="J33" s="4"/>
      <x:c r="K33" s="4"/>
      <x:c r="L33" s="4"/>
      <x:c r="M33" s="4"/>
      <x:c r="N33" s="4"/>
    </x:row>
  </x:sheetData>
  <x:conditionalFormatting sqref="C6:G10">
    <x:cfRule type="colorScale" priority="1">
      <x:colorScale>
        <x:cfvo type="min"/>
        <x:cfvo type="percentile" val="50"/>
        <x:cfvo type="max"/>
        <x:color rgb="FFEBD7D2"/>
        <x:color rgb="FFFFFFFF"/>
        <x:color rgb="FFD5E6DF"/>
      </x:colorScale>
    </x:cfRule>
  </x:conditionalFormatting>
  <x:conditionalFormatting sqref="C16:G20">
    <x:cfRule type="colorScale" priority="2">
      <x:colorScale>
        <x:cfvo type="min"/>
        <x:cfvo type="percentile" val="50"/>
        <x:cfvo type="max"/>
        <x:color rgb="FFEBD7D2"/>
        <x:color rgb="FFFFFFFF"/>
        <x:color rgb="FFD5E6DF"/>
      </x:colorScale>
    </x:cfRule>
  </x:conditionalFormatting>
  <x:conditionalFormatting sqref="C26:G30">
    <x:cfRule type="colorScale" priority="3">
      <x:colorScale>
        <x:cfvo type="min"/>
        <x:cfvo type="percentile" val="50"/>
        <x:cfvo type="max"/>
        <x:color rgb="FFEBD7D2"/>
        <x:color rgb="FFFFFFFF"/>
        <x:color rgb="FFD5E6DF"/>
      </x:colorScale>
    </x:cfRule>
  </x:conditionalFormatting>
  <x:pageMargins left="0.7" right="0.7" top="0.75" bottom="0.75" header="0.3" footer="0.3"/>
</x:worksheet>
</file>

<file path=xl/worksheets/sheet4.xml><?xml version="1.0" encoding="utf-8"?>
<x:worksheet xmlns:x="http://schemas.openxmlformats.org/spreadsheetml/2006/main">
  <x:sheetPr>
    <x:tabColor rgb="FF205C95"/>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1" customHeight="1">
      <x:c r="A1" s="6"/>
      <x:c r="B1" s="22" t="str">
        <x:v>CAVA, Assumptions</x:v>
      </x:c>
      <x:c r="C1" s="22"/>
      <x:c r="D1" s="22"/>
      <x:c r="E1" s="22"/>
      <x:c r="F1" s="22"/>
      <x:c r="G1" s="22"/>
      <x:c r="H1" s="22"/>
      <x:c r="I1" s="22"/>
      <x:c r="J1" s="22"/>
      <x:c r="K1" s="22"/>
      <x:c r="L1" s="22"/>
    </x:row>
    <x:row r="2" ht="34" customHeight="1">
      <x:c r="A2" s="7"/>
      <x:c r="B2" s="26" t="str">
        <x:v>Blue text marks reported inputs or estimates. Forecasts use the inputs on Scenarios.</x:v>
      </x:c>
      <x:c r="C2" s="26"/>
      <x:c r="D2" s="26"/>
      <x:c r="E2" s="26"/>
      <x:c r="F2" s="26"/>
      <x:c r="G2" s="26"/>
      <x:c r="H2" s="26"/>
      <x:c r="I2" s="26"/>
      <x:c r="J2" s="26"/>
      <x:c r="K2" s="26"/>
      <x:c r="L2" s="26"/>
    </x:row>
    <x:row r="3" ht="23" customHeight="1">
      <x:c r="A3" s="4"/>
      <x:c r="B3" s="4"/>
      <x:c r="C3" s="4"/>
      <x:c r="D3" s="4"/>
      <x:c r="E3" s="4"/>
      <x:c r="F3" s="4"/>
      <x:c r="G3" s="4"/>
      <x:c r="H3" s="4"/>
      <x:c r="I3" s="4"/>
      <x:c r="J3" s="4"/>
      <x:c r="K3" s="4"/>
      <x:c r="L3" s="4"/>
    </x:row>
    <x:row r="4" ht="23" customHeight="1">
      <x:c r="A4" s="4"/>
      <x:c r="B4" s="6" t="str">
        <x:v>Valuation and Starting Inputs</x:v>
      </x:c>
      <x:c r="C4" s="4"/>
      <x:c r="D4" s="4"/>
      <x:c r="E4" s="4"/>
      <x:c r="F4" s="4"/>
      <x:c r="G4" s="4"/>
      <x:c r="H4" s="4"/>
      <x:c r="I4" s="4"/>
      <x:c r="J4" s="4"/>
      <x:c r="K4" s="4"/>
      <x:c r="L4" s="4"/>
    </x:row>
    <x:row r="5" ht="35" customHeight="1">
      <x:c r="A5" s="4"/>
      <x:c r="B5" s="40" t="str">
        <x:v>Valuation date</x:v>
      </x:c>
      <x:c r="C5" s="65" t="n">
        <x:v>46239</x:v>
      </x:c>
      <x:c r="D5" s="122" t="str">
        <x:v>Market data and model settings</x:v>
      </x:c>
      <x:c r="E5" s="123"/>
      <x:c r="F5" s="42"/>
      <x:c r="G5" s="42"/>
      <x:c r="H5" s="42"/>
      <x:c r="I5" s="42"/>
      <x:c r="J5" s="42"/>
      <x:c r="K5" s="42"/>
      <x:c r="L5" s="42"/>
    </x:row>
    <x:row r="6" ht="62" customHeight="1">
      <x:c r="A6" s="4"/>
      <x:c r="B6" s="6" t="str">
        <x:v>Current share price</x:v>
      </x:c>
      <x:c r="C6" s="91" t="n">
        <x:v>66.17</x:v>
      </x:c>
      <x:c r="D6" s="43" t="str">
        <x:v>C09; 5 Aug 2026 close</x:v>
      </x:c>
      <x:c r="E6" s="25"/>
      <x:c r="F6" s="7" t="str">
        <x:v>Current basic shares at 12 May 2026</x:v>
      </x:c>
      <x:c r="G6" s="93" t="n">
        <x:v>116.473856</x:v>
      </x:c>
      <x:c r="H6" s="43" t="str">
        <x:v>C02 cover page</x:v>
      </x:c>
      <x:c r="I6" s="25"/>
      <x:c r="J6" s="25"/>
      <x:c r="K6" s="25"/>
      <x:c r="L6" s="25"/>
    </x:row>
    <x:row r="7" ht="62" customHeight="1">
      <x:c r="A7" s="4"/>
      <x:c r="B7" s="7" t="str">
        <x:v>Diluted-share estimate from latest disclosure</x:v>
      </x:c>
      <x:c r="C7" s="96" t="n">
        <x:f>G6+G7</x:f>
        <x:v>118.44885599999999</x:v>
      </x:c>
      <x:c r="D7" s="43" t="str">
        <x:v>Current basic shares + latest reported Q1 dilutive effect</x:v>
      </x:c>
      <x:c r="E7" s="25"/>
      <x:c r="F7" s="7" t="str">
        <x:v>Q1 dilutive award effect</x:v>
      </x:c>
      <x:c r="G7" s="93" t="n">
        <x:v>1.975</x:v>
      </x:c>
      <x:c r="H7" s="43" t="str">
        <x:v>C02 EPS table</x:v>
      </x:c>
      <x:c r="I7" s="25"/>
      <x:c r="J7" s="25"/>
      <x:c r="K7" s="25"/>
      <x:c r="L7" s="25"/>
    </x:row>
    <x:row r="8" ht="62" customHeight="1">
      <x:c r="A8" s="4"/>
      <x:c r="B8" s="6" t="str">
        <x:v>Cash &amp; equivalents</x:v>
      </x:c>
      <x:c r="C8" s="98" t="n">
        <x:v>295.771</x:v>
      </x:c>
      <x:c r="D8" s="43" t="str">
        <x:v>Q1 FY2026</x:v>
      </x:c>
      <x:c r="E8" s="25"/>
      <x:c r="F8" s="7" t="str">
        <x:v>Hyphen note fair value</x:v>
      </x:c>
      <x:c r="G8" s="100" t="n">
        <x:v>10.715</x:v>
      </x:c>
      <x:c r="H8" s="43" t="str">
        <x:v>C02 Notes 3–4; 19 Apr 2026; filed 20 May 2026</x:v>
      </x:c>
      <x:c r="I8" s="25"/>
      <x:c r="J8" s="25"/>
      <x:c r="K8" s="25"/>
      <x:c r="L8" s="25"/>
    </x:row>
    <x:row r="9" ht="62" customHeight="1">
      <x:c r="A9" s="4"/>
      <x:c r="B9" s="6" t="str">
        <x:v>Investments</x:v>
      </x:c>
      <x:c r="C9" s="98" t="n">
        <x:v>107.189</x:v>
      </x:c>
      <x:c r="D9" s="43" t="str">
        <x:v>Q1 FY2026</x:v>
      </x:c>
      <x:c r="E9" s="25"/>
      <x:c r="F9" s="118" t="str">
        <x:v>Base construction-cost inflation</x:v>
      </x:c>
      <x:c r="G9" s="126" t="n">
        <x:v>0.03</x:v>
      </x:c>
      <x:c r="H9" s="25" t="str">
        <x:v>Analyst assumption; not company guidance.</x:v>
      </x:c>
      <x:c r="I9" s="25"/>
      <x:c r="J9" s="25"/>
      <x:c r="K9" s="25"/>
      <x:c r="L9" s="25"/>
    </x:row>
    <x:row r="10" ht="62" customHeight="1">
      <x:c r="A10" s="4"/>
      <x:c r="B10" s="6" t="str">
        <x:v>Operating cash reserve</x:v>
      </x:c>
      <x:c r="C10" s="98" t="n">
        <x:v>100</x:v>
      </x:c>
      <x:c r="D10" s="43" t="str">
        <x:v>Analyst estimate; not all cash is excess</x:v>
      </x:c>
      <x:c r="E10" s="25"/>
      <x:c r="F10" s="118" t="str">
        <x:v>Downside construction-cost inflation</x:v>
      </x:c>
      <x:c r="G10" s="126" t="n">
        <x:v>0.035</x:v>
      </x:c>
      <x:c r="H10" s="25" t="str">
        <x:v>Analyst assumption; not company guidance.</x:v>
      </x:c>
      <x:c r="I10" s="25"/>
      <x:c r="J10" s="25"/>
      <x:c r="K10" s="25"/>
      <x:c r="L10" s="25"/>
    </x:row>
    <x:row r="11" ht="62" customHeight="1">
      <x:c r="A11" s="4"/>
      <x:c r="B11" s="6" t="str">
        <x:v>Excess cash</x:v>
      </x:c>
      <x:c r="C11" s="96" t="n">
        <x:f>C8+C9-C10</x:f>
        <x:v>302.96000000000004</x:v>
      </x:c>
      <x:c r="D11" s="43" t="str">
        <x:v>Cash + investments − reserve</x:v>
      </x:c>
      <x:c r="E11" s="25"/>
      <x:c r="F11" s="118" t="str">
        <x:v>Upside construction-cost inflation</x:v>
      </x:c>
      <x:c r="G11" s="126" t="n">
        <x:v>0.02</x:v>
      </x:c>
      <x:c r="H11" s="25" t="str">
        <x:v>Analyst assumption; not company guidance.</x:v>
      </x:c>
      <x:c r="I11" s="25"/>
      <x:c r="J11" s="25"/>
      <x:c r="K11" s="25"/>
      <x:c r="L11" s="25"/>
    </x:row>
    <x:row r="12" ht="62" customHeight="1">
      <x:c r="A12" s="4"/>
      <x:c r="B12" s="6" t="str">
        <x:v>Funded debt</x:v>
      </x:c>
      <x:c r="C12" s="98" t="n">
        <x:v>0</x:v>
      </x:c>
      <x:c r="D12" s="43" t="str">
        <x:v>Q1 FY2026</x:v>
      </x:c>
      <x:c r="E12" s="25"/>
      <x:c r="F12" s="118" t="str">
        <x:v>FY2025 PP&amp;E + intangible assets, net</x:v>
      </x:c>
      <x:c r="G12" s="117" t="n">
        <x:v>459.28</x:v>
      </x:c>
      <x:c r="H12" s="25" t="str">
        <x:v>C01, FY2025 Form 10-K</x:v>
      </x:c>
      <x:c r="I12" s="25"/>
      <x:c r="J12" s="25"/>
      <x:c r="K12" s="25"/>
      <x:c r="L12" s="25"/>
    </x:row>
    <x:row r="13" ht="62" customHeight="1">
      <x:c r="A13" s="4"/>
      <x:c r="B13" s="6" t="str">
        <x:v>Forecast cash tax rate</x:v>
      </x:c>
      <x:c r="C13" s="102" t="n">
        <x:v>0.25</x:v>
      </x:c>
      <x:c r="D13" s="43" t="str">
        <x:v>25% normalized cash-tax assumption on EBIT before noncash write-downs. NOL timing is not assumed to improve value.</x:v>
      </x:c>
      <x:c r="E13" s="25"/>
      <x:c r="F13" s="118" t="str">
        <x:v>Second-year store productivity</x:v>
      </x:c>
      <x:c r="G13" s="126" t="n">
        <x:v>0.9</x:v>
      </x:c>
      <x:c r="H13" s="25" t="str">
        <x:v>Analyst assumption; not company guidance.</x:v>
      </x:c>
      <x:c r="I13" s="25"/>
      <x:c r="J13" s="25"/>
      <x:c r="K13" s="25"/>
      <x:c r="L13" s="25"/>
    </x:row>
    <x:row r="14" ht="62" customHeight="1">
      <x:c r="A14" s="4"/>
      <x:c r="B14" s="6" t="str">
        <x:v>Other revenue share of total</x:v>
      </x:c>
      <x:c r="C14" s="102" t="n">
        <x:v>0.008</x:v>
      </x:c>
      <x:c r="D14" s="43" t="str">
        <x:v>Analyst estimate anchored to FY2025 mix</x:v>
      </x:c>
      <x:c r="E14" s="25"/>
      <x:c r="F14" s="118" t="str">
        <x:v>FY2025 Other segment operating loss</x:v>
      </x:c>
      <x:c r="G14" s="117" t="n">
        <x:v>-5.423</x:v>
      </x:c>
      <x:c r="H14" s="25" t="str">
        <x:v>C01, FY2025 Form 10-K</x:v>
      </x:c>
      <x:c r="I14" s="25"/>
      <x:c r="J14" s="25"/>
      <x:c r="K14" s="25"/>
      <x:c r="L14" s="25"/>
    </x:row>
    <x:row r="15" ht="39" customHeight="1">
      <x:c r="A15" s="4"/>
      <x:c r="B15" s="7" t="str">
        <x:v>New-store first-year sales factor</x:v>
      </x:c>
      <x:c r="C15" s="102" t="n">
        <x:v>0.45</x:v>
      </x:c>
      <x:c r="D15" s="43" t="str">
        <x:v>45% of mature annual sales in opening year; 90% in the next year; 100% thereafter.</x:v>
      </x:c>
      <x:c r="E15" s="25"/>
      <x:c r="F15" s="4"/>
      <x:c r="G15" s="4"/>
      <x:c r="H15" s="4"/>
      <x:c r="I15" s="4"/>
      <x:c r="J15" s="4"/>
      <x:c r="K15" s="4"/>
      <x:c r="L15" s="4"/>
    </x:row>
    <x:row r="16" ht="35" customHeight="1">
      <x:c r="A16" s="4"/>
      <x:c r="B16" s="6" t="str">
        <x:v>Operating NWC / revenue</x:v>
      </x:c>
      <x:c r="C16" s="102" t="n">
        <x:v>-0.01</x:v>
      </x:c>
      <x:c r="D16" s="43" t="str">
        <x:v>Estimated negative working capital</x:v>
      </x:c>
      <x:c r="E16" s="25"/>
      <x:c r="F16" s="4"/>
      <x:c r="G16" s="4"/>
      <x:c r="H16" s="4"/>
      <x:c r="I16" s="4"/>
      <x:c r="J16" s="4"/>
      <x:c r="K16" s="4"/>
      <x:c r="L16" s="4"/>
    </x:row>
    <x:row r="17" ht="35" customHeight="1">
      <x:c r="A17" s="4"/>
      <x:c r="B17" s="6" t="str">
        <x:v>FY2025 operating NWC estimate</x:v>
      </x:c>
      <x:c r="C17" s="96" t="n">
        <x:f>C20*C16</x:f>
        <x:v>-11.79664</x:v>
      </x:c>
      <x:c r="D17" s="43" t="str">
        <x:v>Revenue × NWC ratio</x:v>
      </x:c>
      <x:c r="E17" s="25"/>
      <x:c r="F17" s="4"/>
      <x:c r="G17" s="4"/>
      <x:c r="H17" s="4"/>
      <x:c r="I17" s="4"/>
      <x:c r="J17" s="4"/>
      <x:c r="K17" s="4"/>
      <x:c r="L17" s="4"/>
    </x:row>
    <x:row r="18" ht="35" customHeight="1">
      <x:c r="A18" s="4"/>
      <x:c r="B18" s="6" t="str">
        <x:v>FY2025 ending restaurants</x:v>
      </x:c>
      <x:c r="C18" s="105" t="n">
        <x:f>'Historical'!G37</x:f>
        <x:v>439</x:v>
      </x:c>
      <x:c r="D18" s="43" t="str">
        <x:v>Reported</x:v>
      </x:c>
      <x:c r="E18" s="25"/>
      <x:c r="F18" s="4"/>
      <x:c r="G18" s="4"/>
      <x:c r="H18" s="4"/>
      <x:c r="I18" s="4"/>
      <x:c r="J18" s="4"/>
      <x:c r="K18" s="4"/>
      <x:c r="L18" s="4"/>
    </x:row>
    <x:row r="19" ht="35" customHeight="1">
      <x:c r="A19" s="4"/>
      <x:c r="B19" s="6" t="str">
        <x:v>FY2025 AUV ($mm)</x:v>
      </x:c>
      <x:c r="C19" s="105" t="n">
        <x:f>'Historical'!G42</x:f>
        <x:v>2.934</x:v>
      </x:c>
      <x:c r="D19" s="43" t="str">
        <x:v>Reported</x:v>
      </x:c>
      <x:c r="E19" s="25"/>
      <x:c r="F19" s="4"/>
      <x:c r="G19" s="4"/>
      <x:c r="H19" s="4"/>
      <x:c r="I19" s="4"/>
      <x:c r="J19" s="4"/>
      <x:c r="K19" s="4"/>
      <x:c r="L19" s="4"/>
    </x:row>
    <x:row r="20" ht="35" customHeight="1">
      <x:c r="A20" s="4"/>
      <x:c r="B20" s="6" t="str">
        <x:v>FY2025 revenue</x:v>
      </x:c>
      <x:c r="C20" s="105" t="n">
        <x:f>'Historical'!G6</x:f>
        <x:v>1179.664</x:v>
      </x:c>
      <x:c r="D20" s="43" t="str">
        <x:v>Reported</x:v>
      </x:c>
      <x:c r="E20" s="25"/>
      <x:c r="F20" s="4"/>
      <x:c r="G20" s="4"/>
      <x:c r="H20" s="4"/>
      <x:c r="I20" s="4"/>
      <x:c r="J20" s="4"/>
      <x:c r="K20" s="4"/>
      <x:c r="L20" s="4"/>
    </x:row>
    <x:row r="21" ht="35" customHeight="1">
      <x:c r="A21" s="4"/>
      <x:c r="B21" s="6" t="str">
        <x:v>Base WACC</x:v>
      </x:c>
      <x:c r="C21" s="107" t="n">
        <x:f>'WACC'!$C$21</x:f>
        <x:v>0.0998095</x:v>
      </x:c>
      <x:c r="D21" s="43" t="str">
        <x:v>Linked from WACC</x:v>
      </x:c>
      <x:c r="E21" s="25"/>
      <x:c r="F21" s="4"/>
      <x:c r="G21" s="4"/>
      <x:c r="H21" s="4"/>
      <x:c r="I21" s="4"/>
      <x:c r="J21" s="4"/>
      <x:c r="K21" s="4"/>
      <x:c r="L21" s="4"/>
    </x:row>
    <x:row r="22" ht="35" customHeight="1">
      <x:c r="A22" s="4"/>
      <x:c r="B22" s="6" t="str">
        <x:v>Base terminal growth</x:v>
      </x:c>
      <x:c r="C22" s="109" t="n">
        <x:v>0.03</x:v>
      </x:c>
      <x:c r="D22" s="43" t="str">
        <x:v>Long-run nominal growth</x:v>
      </x:c>
      <x:c r="E22" s="25"/>
      <x:c r="F22" s="4"/>
      <x:c r="G22" s="4"/>
      <x:c r="H22" s="4"/>
      <x:c r="I22" s="4"/>
      <x:c r="J22" s="4"/>
      <x:c r="K22" s="4"/>
      <x:c r="L22" s="4"/>
    </x:row>
    <x:row r="23" ht="35" customHeight="1">
      <x:c r="A23" s="4"/>
      <x:c r="B23" s="6" t="str">
        <x:v>Base implied EV / EBITDA</x:v>
      </x:c>
      <x:c r="C23" s="229" t="n">
        <x:f>'Scenarios'!O10/'Scenarios'!L34</x:f>
        <x:v>6.886946830369812</x:v>
      </x:c>
      <x:c r="D23" s="43" t="str">
        <x:v>Derived from terminal cash flow</x:v>
      </x:c>
      <x:c r="E23" s="25"/>
      <x:c r="F23" s="4"/>
      <x:c r="G23" s="4"/>
      <x:c r="H23" s="4"/>
      <x:c r="I23" s="4"/>
      <x:c r="J23" s="4"/>
      <x:c r="K23" s="4"/>
      <x:c r="L23" s="4"/>
    </x:row>
    <x:row r="24" ht="35" customHeight="1">
      <x:c r="A24" s="4"/>
      <x:c r="B24" s="6" t="str">
        <x:v>Downside WACC</x:v>
      </x:c>
      <x:c r="C24" s="111" t="n">
        <x:f>C21+0.0075</x:f>
        <x:v>0.1073095</x:v>
      </x:c>
      <x:c r="D24" s="43" t="str">
        <x:v>Base + 75 bps</x:v>
      </x:c>
      <x:c r="E24" s="25"/>
      <x:c r="F24" s="4"/>
      <x:c r="G24" s="4"/>
      <x:c r="H24" s="4"/>
      <x:c r="I24" s="4"/>
      <x:c r="J24" s="4"/>
      <x:c r="K24" s="4"/>
      <x:c r="L24" s="4"/>
    </x:row>
    <x:row r="25" ht="35" customHeight="1">
      <x:c r="A25" s="4"/>
      <x:c r="B25" s="6" t="str">
        <x:v>Downside terminal growth</x:v>
      </x:c>
      <x:c r="C25" s="109" t="n">
        <x:v>0.025</x:v>
      </x:c>
      <x:c r="D25" s="43" t="str">
        <x:v>Conservative terminal case</x:v>
      </x:c>
      <x:c r="E25" s="25"/>
      <x:c r="F25" s="4"/>
      <x:c r="G25" s="4"/>
      <x:c r="H25" s="4"/>
      <x:c r="I25" s="4"/>
      <x:c r="J25" s="4"/>
      <x:c r="K25" s="4"/>
      <x:c r="L25" s="4"/>
    </x:row>
    <x:row r="26" ht="35" customHeight="1">
      <x:c r="A26" s="4"/>
      <x:c r="B26" s="6" t="str">
        <x:v>Upside WACC</x:v>
      </x:c>
      <x:c r="C26" s="111" t="n">
        <x:f>C21-0.005</x:f>
        <x:v>0.09480949999999999</x:v>
      </x:c>
      <x:c r="D26" s="43" t="str">
        <x:v>Base − 50 bps</x:v>
      </x:c>
      <x:c r="E26" s="25"/>
      <x:c r="F26" s="4"/>
      <x:c r="G26" s="4"/>
      <x:c r="H26" s="4"/>
      <x:c r="I26" s="4"/>
      <x:c r="J26" s="4"/>
      <x:c r="K26" s="4"/>
      <x:c r="L26" s="4"/>
    </x:row>
    <x:row r="27" ht="35" customHeight="1">
      <x:c r="A27" s="4"/>
      <x:c r="B27" s="6" t="str">
        <x:v>Upside terminal growth</x:v>
      </x:c>
      <x:c r="C27" s="109" t="n">
        <x:v>0.03</x:v>
      </x:c>
      <x:c r="D27" s="43" t="str">
        <x:v>Upper mature growth case: 3.0%</x:v>
      </x:c>
      <x:c r="E27" s="25"/>
      <x:c r="F27" s="4"/>
      <x:c r="G27" s="4"/>
      <x:c r="H27" s="4"/>
      <x:c r="I27" s="4"/>
      <x:c r="J27" s="4"/>
      <x:c r="K27" s="4"/>
      <x:c r="L27" s="4"/>
    </x:row>
    <x:row r="28" ht="35" customHeight="1">
      <x:c r="A28" s="4"/>
      <x:c r="B28" s="6" t="str">
        <x:v>Downside implied multiple</x:v>
      </x:c>
      <x:c r="C28" s="229" t="n">
        <x:f>'Scenarios'!O46/'Scenarios'!L70</x:f>
        <x:v>4.619243621455107</x:v>
      </x:c>
      <x:c r="D28" s="43" t="str">
        <x:v>Derived from terminal cash flow</x:v>
      </x:c>
      <x:c r="E28" s="25"/>
      <x:c r="F28" s="4"/>
      <x:c r="G28" s="4"/>
      <x:c r="H28" s="4"/>
      <x:c r="I28" s="4"/>
      <x:c r="J28" s="4"/>
      <x:c r="K28" s="4"/>
      <x:c r="L28" s="4"/>
    </x:row>
    <x:row r="29" ht="35" customHeight="1">
      <x:c r="A29" s="4"/>
      <x:c r="B29" s="6" t="str">
        <x:v>Upside implied multiple</x:v>
      </x:c>
      <x:c r="C29" s="229" t="n">
        <x:f>'Scenarios'!O82/'Scenarios'!L106</x:f>
        <x:v>8.098870366899428</x:v>
      </x:c>
      <x:c r="D29" s="43" t="str">
        <x:v>Derived from terminal cash flow</x:v>
      </x:c>
      <x:c r="E29" s="25"/>
      <x:c r="F29" s="4"/>
      <x:c r="G29" s="4"/>
      <x:c r="H29" s="4"/>
      <x:c r="I29" s="4"/>
      <x:c r="J29" s="4"/>
      <x:c r="K29" s="4"/>
      <x:c r="L29" s="4"/>
    </x:row>
    <x:row r="30" ht="35" customHeight="1">
      <x:c r="A30" s="4"/>
      <x:c r="B30" s="6" t="str">
        <x:v>Model horizon</x:v>
      </x:c>
      <x:c r="C30" s="98" t="n">
        <x:v>10</x:v>
      </x:c>
      <x:c r="D30" s="43" t="str">
        <x:v>Ten years, with slower growth in the last five</x:v>
      </x:c>
      <x:c r="E30" s="25"/>
      <x:c r="F30" s="4"/>
      <x:c r="G30" s="4"/>
      <x:c r="H30" s="4"/>
      <x:c r="I30" s="4"/>
      <x:c r="J30" s="4"/>
      <x:c r="K30" s="4"/>
      <x:c r="L30" s="4"/>
    </x:row>
    <x:row r="31" ht="39" customHeight="1">
      <x:c r="A31" s="4"/>
      <x:c r="B31" s="7" t="str">
        <x:v>Other-business operating margin (forecast estimate)</x:v>
      </x:c>
      <x:c r="C31" s="225" t="n">
        <x:f>G14/('Historical'!G6-'Historical'!G49)</x:f>
        <x:v>-0.5225476970514585</x:v>
      </x:c>
      <x:c r="D31" s="43" t="str">
        <x:v>Hold the FY2025 Other segment loss margin until a supported improvement is available.</x:v>
      </x:c>
      <x:c r="E31" s="25"/>
      <x:c r="F31" s="4"/>
      <x:c r="G31" s="4"/>
      <x:c r="H31" s="4"/>
      <x:c r="I31" s="4"/>
      <x:c r="J31" s="4"/>
      <x:c r="K31" s="4"/>
      <x:c r="L31" s="4"/>
    </x:row>
    <x:row r="32" ht="23" customHeight="1">
      <x:c r="A32" s="4"/>
      <x:c r="B32" s="4"/>
      <x:c r="C32" s="4"/>
      <x:c r="D32" s="4"/>
      <x:c r="E32" s="4"/>
      <x:c r="F32" s="4"/>
      <x:c r="G32" s="4"/>
      <x:c r="H32" s="4"/>
      <x:c r="I32" s="4"/>
      <x:c r="J32" s="4"/>
      <x:c r="K32" s="4"/>
      <x:c r="L32" s="4"/>
    </x:row>
    <x:row r="33" ht="25" customHeight="1">
      <x:c r="A33" s="4"/>
      <x:c r="B33" s="57" t="str">
        <x:v>Base Case Operating Drivers</x:v>
      </x:c>
      <x:c r="C33" s="58"/>
      <x:c r="D33" s="58"/>
      <x:c r="E33" s="58"/>
      <x:c r="F33" s="58"/>
      <x:c r="G33" s="58"/>
      <x:c r="H33" s="58"/>
      <x:c r="I33" s="58"/>
      <x:c r="J33" s="58"/>
      <x:c r="K33" s="58"/>
      <x:c r="L33" s="58"/>
    </x:row>
    <x:row r="34" ht="34" customHeight="1">
      <x:c r="A34" s="4"/>
      <x:c r="B34" s="40" t="str">
        <x:v>Assumption</x:v>
      </x:c>
      <x:c r="C34" s="40" t="str">
        <x:v>FY2026E</x:v>
      </x:c>
      <x:c r="D34" s="40" t="str">
        <x:v>FY2027E</x:v>
      </x:c>
      <x:c r="E34" s="40" t="str">
        <x:v>FY2028E</x:v>
      </x:c>
      <x:c r="F34" s="40" t="str">
        <x:v>FY2029E</x:v>
      </x:c>
      <x:c r="G34" s="40" t="str">
        <x:v>FY2030E</x:v>
      </x:c>
      <x:c r="H34" s="40" t="str">
        <x:v>FY2031E</x:v>
      </x:c>
      <x:c r="I34" s="40" t="str">
        <x:v>FY2032E</x:v>
      </x:c>
      <x:c r="J34" s="40" t="str">
        <x:v>FY2033E</x:v>
      </x:c>
      <x:c r="K34" s="40" t="str">
        <x:v>FY2034E</x:v>
      </x:c>
      <x:c r="L34" s="40" t="str">
        <x:v>FY2035E</x:v>
      </x:c>
    </x:row>
    <x:row r="35" ht="23" customHeight="1">
      <x:c r="A35" s="4"/>
      <x:c r="B35" s="6" t="str">
        <x:v>New openings</x:v>
      </x:c>
      <x:c r="C35" s="98" t="n">
        <x:v>76</x:v>
      </x:c>
      <x:c r="D35" s="98" t="n">
        <x:v>82</x:v>
      </x:c>
      <x:c r="E35" s="98" t="n">
        <x:v>86</x:v>
      </x:c>
      <x:c r="F35" s="98" t="n">
        <x:v>88</x:v>
      </x:c>
      <x:c r="G35" s="98" t="n">
        <x:v>90</x:v>
      </x:c>
      <x:c r="H35" s="98" t="n">
        <x:v>90</x:v>
      </x:c>
      <x:c r="I35" s="98" t="n">
        <x:v>88</x:v>
      </x:c>
      <x:c r="J35" s="98" t="n">
        <x:v>84</x:v>
      </x:c>
      <x:c r="K35" s="98" t="n">
        <x:v>78</x:v>
      </x:c>
      <x:c r="L35" s="98" t="n">
        <x:v>70</x:v>
      </x:c>
    </x:row>
    <x:row r="36" ht="23" customHeight="1">
      <x:c r="A36" s="4"/>
      <x:c r="B36" s="6" t="str">
        <x:v>Same-restaurant sales</x:v>
      </x:c>
      <x:c r="C36" s="102" t="n">
        <x:v>0.055</x:v>
      </x:c>
      <x:c r="D36" s="102" t="n">
        <x:v>0.045</x:v>
      </x:c>
      <x:c r="E36" s="102" t="n">
        <x:v>0.04</x:v>
      </x:c>
      <x:c r="F36" s="102" t="n">
        <x:v>0.035</x:v>
      </x:c>
      <x:c r="G36" s="102" t="n">
        <x:v>0.032</x:v>
      </x:c>
      <x:c r="H36" s="102" t="n">
        <x:v>0.03</x:v>
      </x:c>
      <x:c r="I36" s="102" t="n">
        <x:v>0.028</x:v>
      </x:c>
      <x:c r="J36" s="102" t="n">
        <x:v>0.026</x:v>
      </x:c>
      <x:c r="K36" s="102" t="n">
        <x:v>0.025</x:v>
      </x:c>
      <x:c r="L36" s="102" t="n">
        <x:v>0.025</x:v>
      </x:c>
    </x:row>
    <x:row r="37" ht="23" customHeight="1">
      <x:c r="A37" s="4"/>
      <x:c r="B37" s="6" t="str">
        <x:v>Restaurant-level margin</x:v>
      </x:c>
      <x:c r="C37" s="102" t="n">
        <x:v>0.24</x:v>
      </x:c>
      <x:c r="D37" s="102" t="n">
        <x:v>0.242</x:v>
      </x:c>
      <x:c r="E37" s="102" t="n">
        <x:v>0.245</x:v>
      </x:c>
      <x:c r="F37" s="102" t="n">
        <x:v>0.247</x:v>
      </x:c>
      <x:c r="G37" s="102" t="n">
        <x:v>0.25</x:v>
      </x:c>
      <x:c r="H37" s="102" t="n">
        <x:v>0.252</x:v>
      </x:c>
      <x:c r="I37" s="102" t="n">
        <x:v>0.254</x:v>
      </x:c>
      <x:c r="J37" s="102" t="n">
        <x:v>0.255</x:v>
      </x:c>
      <x:c r="K37" s="102" t="n">
        <x:v>0.256</x:v>
      </x:c>
      <x:c r="L37" s="102" t="n">
        <x:v>0.257</x:v>
      </x:c>
    </x:row>
    <x:row r="38" ht="23" customHeight="1">
      <x:c r="A38" s="4"/>
      <x:c r="B38" s="6" t="str">
        <x:v>G&amp;A / revenue</x:v>
      </x:c>
      <x:c r="C38" s="102" t="n">
        <x:v>0.105</x:v>
      </x:c>
      <x:c r="D38" s="102" t="n">
        <x:v>0.1</x:v>
      </x:c>
      <x:c r="E38" s="102" t="n">
        <x:v>0.095</x:v>
      </x:c>
      <x:c r="F38" s="102" t="n">
        <x:v>0.091</x:v>
      </x:c>
      <x:c r="G38" s="102" t="n">
        <x:v>0.088</x:v>
      </x:c>
      <x:c r="H38" s="102" t="n">
        <x:v>0.084</x:v>
      </x:c>
      <x:c r="I38" s="102" t="n">
        <x:v>0.08</x:v>
      </x:c>
      <x:c r="J38" s="102" t="n">
        <x:v>0.076</x:v>
      </x:c>
      <x:c r="K38" s="102" t="n">
        <x:v>0.072</x:v>
      </x:c>
      <x:c r="L38" s="102" t="n">
        <x:v>0.068</x:v>
      </x:c>
    </x:row>
    <x:row r="39" ht="23" customHeight="1">
      <x:c r="A39" s="4"/>
      <x:c r="B39" s="6" t="str">
        <x:v>D&amp;A / revenue</x:v>
      </x:c>
      <x:c r="C39" s="102" t="n">
        <x:v>0.063</x:v>
      </x:c>
      <x:c r="D39" s="102" t="n">
        <x:v>0.06</x:v>
      </x:c>
      <x:c r="E39" s="102" t="n">
        <x:v>0.058</x:v>
      </x:c>
      <x:c r="F39" s="102" t="n">
        <x:v>0.056</x:v>
      </x:c>
      <x:c r="G39" s="102" t="n">
        <x:v>0.054</x:v>
      </x:c>
      <x:c r="H39" s="102" t="n">
        <x:v>0.052</x:v>
      </x:c>
      <x:c r="I39" s="102" t="n">
        <x:v>0.05</x:v>
      </x:c>
      <x:c r="J39" s="102" t="n">
        <x:v>0.048</x:v>
      </x:c>
      <x:c r="K39" s="102" t="n">
        <x:v>0.046</x:v>
      </x:c>
      <x:c r="L39" s="102" t="n">
        <x:v>0.045</x:v>
      </x:c>
    </x:row>
    <x:row r="40" ht="23" customHeight="1">
      <x:c r="A40" s="4"/>
      <x:c r="B40" s="6" t="str">
        <x:v>Pre-opening / revenue</x:v>
      </x:c>
      <x:c r="C40" s="102" t="n">
        <x:v>0.018</x:v>
      </x:c>
      <x:c r="D40" s="102" t="n">
        <x:v>0.016</x:v>
      </x:c>
      <x:c r="E40" s="102" t="n">
        <x:v>0.015</x:v>
      </x:c>
      <x:c r="F40" s="102" t="n">
        <x:v>0.014</x:v>
      </x:c>
      <x:c r="G40" s="102" t="n">
        <x:v>0.013</x:v>
      </x:c>
      <x:c r="H40" s="102" t="n">
        <x:v>0.012</x:v>
      </x:c>
      <x:c r="I40" s="102" t="n">
        <x:v>0.011</x:v>
      </x:c>
      <x:c r="J40" s="102" t="n">
        <x:v>0.01</x:v>
      </x:c>
      <x:c r="K40" s="102" t="n">
        <x:v>0.009</x:v>
      </x:c>
      <x:c r="L40" s="102" t="n">
        <x:v>0.008</x:v>
      </x:c>
    </x:row>
    <x:row r="41" ht="23" customHeight="1">
      <x:c r="A41" s="4"/>
      <x:c r="B41" s="6" t="str">
        <x:v>Impairment / revenue</x:v>
      </x:c>
      <x:c r="C41" s="102" t="n">
        <x:v>0.004</x:v>
      </x:c>
      <x:c r="D41" s="102" t="n">
        <x:v>0.004</x:v>
      </x:c>
      <x:c r="E41" s="102" t="n">
        <x:v>0.004</x:v>
      </x:c>
      <x:c r="F41" s="102" t="n">
        <x:v>0.004</x:v>
      </x:c>
      <x:c r="G41" s="102" t="n">
        <x:v>0.004</x:v>
      </x:c>
      <x:c r="H41" s="102" t="n">
        <x:v>0.004</x:v>
      </x:c>
      <x:c r="I41" s="102" t="n">
        <x:v>0.0035</x:v>
      </x:c>
      <x:c r="J41" s="102" t="n">
        <x:v>0.0035</x:v>
      </x:c>
      <x:c r="K41" s="102" t="n">
        <x:v>0.003</x:v>
      </x:c>
      <x:c r="L41" s="102" t="n">
        <x:v>0.003</x:v>
      </x:c>
    </x:row>
    <x:row r="42" ht="23" customHeight="1">
      <x:c r="A42" s="4"/>
      <x:c r="B42" s="6" t="str">
        <x:v>New-store capex / opening</x:v>
      </x:c>
      <x:c r="C42" s="98" t="n">
        <x:v>1.8</x:v>
      </x:c>
      <x:c r="D42" s="96" t="n">
        <x:f>C42*(1+$G$9)</x:f>
        <x:v>1.854</x:v>
      </x:c>
      <x:c r="E42" s="96" t="n">
        <x:f>D42*(1+$G$9)</x:f>
        <x:v>1.90962</x:v>
      </x:c>
      <x:c r="F42" s="96" t="n">
        <x:f>E42*(1+$G$9)</x:f>
        <x:v>1.9669086000000002</x:v>
      </x:c>
      <x:c r="G42" s="96" t="n">
        <x:f>F42*(1+$G$9)</x:f>
        <x:v>2.0259158580000003</x:v>
      </x:c>
      <x:c r="H42" s="96" t="n">
        <x:f>G42*(1+$G$9)</x:f>
        <x:v>2.0866933337400004</x:v>
      </x:c>
      <x:c r="I42" s="96" t="n">
        <x:f>H42*(1+$G$9)</x:f>
        <x:v>2.1492941337522007</x:v>
      </x:c>
      <x:c r="J42" s="96" t="n">
        <x:f>I42*(1+$G$9)</x:f>
        <x:v>2.2137729577647667</x:v>
      </x:c>
      <x:c r="K42" s="96" t="n">
        <x:f>J42*(1+$G$9)</x:f>
        <x:v>2.2801861464977096</x:v>
      </x:c>
      <x:c r="L42" s="96" t="n">
        <x:f>K42*(1+$G$9)</x:f>
        <x:v>2.348591730892641</x:v>
      </x:c>
    </x:row>
    <x:row r="43" ht="23" customHeight="1">
      <x:c r="A43" s="4"/>
      <x:c r="B43" s="6" t="str">
        <x:v>Maintenance capex / revenue</x:v>
      </x:c>
      <x:c r="C43" s="102" t="n">
        <x:v>0.015</x:v>
      </x:c>
      <x:c r="D43" s="102" t="n">
        <x:v>0.015</x:v>
      </x:c>
      <x:c r="E43" s="102" t="n">
        <x:v>0.015</x:v>
      </x:c>
      <x:c r="F43" s="102" t="n">
        <x:v>0.015</x:v>
      </x:c>
      <x:c r="G43" s="102" t="n">
        <x:v>0.015</x:v>
      </x:c>
      <x:c r="H43" s="102" t="n">
        <x:v>0.015</x:v>
      </x:c>
      <x:c r="I43" s="102" t="n">
        <x:v>0.015</x:v>
      </x:c>
      <x:c r="J43" s="102" t="n">
        <x:v>0.015</x:v>
      </x:c>
      <x:c r="K43" s="102" t="n">
        <x:v>0.015</x:v>
      </x:c>
      <x:c r="L43" s="102" t="n">
        <x:v>0.015</x:v>
      </x:c>
    </x:row>
    <x:row r="44" ht="23" customHeight="1">
      <x:c r="A44" s="4"/>
      <x:c r="B44" s="6" t="str">
        <x:v>Infrastructure capex</x:v>
      </x:c>
      <x:c r="C44" s="98" t="n">
        <x:v>15</x:v>
      </x:c>
      <x:c r="D44" s="98" t="n">
        <x:v>15</x:v>
      </x:c>
      <x:c r="E44" s="98" t="n">
        <x:v>15</x:v>
      </x:c>
      <x:c r="F44" s="98" t="n">
        <x:v>15</x:v>
      </x:c>
      <x:c r="G44" s="98" t="n">
        <x:v>15</x:v>
      </x:c>
      <x:c r="H44" s="98" t="n">
        <x:v>15</x:v>
      </x:c>
      <x:c r="I44" s="98" t="n">
        <x:v>15</x:v>
      </x:c>
      <x:c r="J44" s="98" t="n">
        <x:v>15</x:v>
      </x:c>
      <x:c r="K44" s="98" t="n">
        <x:v>15</x:v>
      </x:c>
      <x:c r="L44" s="98" t="n">
        <x:v>15</x:v>
      </x:c>
    </x:row>
    <x:row r="45" ht="23" customHeight="1">
      <x:c r="A45" s="4"/>
      <x:c r="B45" s="4"/>
      <x:c r="C45" s="4"/>
      <x:c r="D45" s="4"/>
      <x:c r="E45" s="4"/>
      <x:c r="F45" s="4"/>
      <x:c r="G45" s="4"/>
      <x:c r="H45" s="4"/>
      <x:c r="I45" s="4"/>
      <x:c r="J45" s="4"/>
      <x:c r="K45" s="4"/>
      <x:c r="L45" s="4"/>
    </x:row>
    <x:row r="46" ht="23" customHeight="1">
      <x:c r="A46" s="4"/>
      <x:c r="B46" s="4"/>
      <x:c r="C46" s="4"/>
      <x:c r="D46" s="4"/>
      <x:c r="E46" s="4"/>
      <x:c r="F46" s="4"/>
      <x:c r="G46" s="4"/>
      <x:c r="H46" s="4"/>
      <x:c r="I46" s="4"/>
      <x:c r="J46" s="4"/>
      <x:c r="K46" s="4"/>
      <x:c r="L46" s="4"/>
    </x:row>
    <x:row r="47" ht="25" customHeight="1">
      <x:c r="A47" s="4"/>
      <x:c r="B47" s="57" t="str">
        <x:v>Downside Case Operating Drivers</x:v>
      </x:c>
      <x:c r="C47" s="58"/>
      <x:c r="D47" s="58"/>
      <x:c r="E47" s="58"/>
      <x:c r="F47" s="58"/>
      <x:c r="G47" s="58"/>
      <x:c r="H47" s="58"/>
      <x:c r="I47" s="58"/>
      <x:c r="J47" s="58"/>
      <x:c r="K47" s="58"/>
      <x:c r="L47" s="58"/>
    </x:row>
    <x:row r="48" ht="34" customHeight="1">
      <x:c r="A48" s="4"/>
      <x:c r="B48" s="40" t="str">
        <x:v>Assumption</x:v>
      </x:c>
      <x:c r="C48" s="40" t="str">
        <x:v>FY2026E</x:v>
      </x:c>
      <x:c r="D48" s="40" t="str">
        <x:v>FY2027E</x:v>
      </x:c>
      <x:c r="E48" s="40" t="str">
        <x:v>FY2028E</x:v>
      </x:c>
      <x:c r="F48" s="40" t="str">
        <x:v>FY2029E</x:v>
      </x:c>
      <x:c r="G48" s="40" t="str">
        <x:v>FY2030E</x:v>
      </x:c>
      <x:c r="H48" s="40" t="str">
        <x:v>FY2031E</x:v>
      </x:c>
      <x:c r="I48" s="40" t="str">
        <x:v>FY2032E</x:v>
      </x:c>
      <x:c r="J48" s="40" t="str">
        <x:v>FY2033E</x:v>
      </x:c>
      <x:c r="K48" s="40" t="str">
        <x:v>FY2034E</x:v>
      </x:c>
      <x:c r="L48" s="40" t="str">
        <x:v>FY2035E</x:v>
      </x:c>
    </x:row>
    <x:row r="49" ht="23" customHeight="1">
      <x:c r="A49" s="4"/>
      <x:c r="B49" s="6" t="str">
        <x:v>New openings</x:v>
      </x:c>
      <x:c r="C49" s="98" t="n">
        <x:v>75</x:v>
      </x:c>
      <x:c r="D49" s="98" t="n">
        <x:v>70</x:v>
      </x:c>
      <x:c r="E49" s="98" t="n">
        <x:v>68</x:v>
      </x:c>
      <x:c r="F49" s="98" t="n">
        <x:v>65</x:v>
      </x:c>
      <x:c r="G49" s="98" t="n">
        <x:v>60</x:v>
      </x:c>
      <x:c r="H49" s="98" t="n">
        <x:v>55</x:v>
      </x:c>
      <x:c r="I49" s="98" t="n">
        <x:v>50</x:v>
      </x:c>
      <x:c r="J49" s="98" t="n">
        <x:v>45</x:v>
      </x:c>
      <x:c r="K49" s="98" t="n">
        <x:v>40</x:v>
      </x:c>
      <x:c r="L49" s="98" t="n">
        <x:v>35</x:v>
      </x:c>
    </x:row>
    <x:row r="50" ht="23" customHeight="1">
      <x:c r="A50" s="4"/>
      <x:c r="B50" s="6" t="str">
        <x:v>Same-restaurant sales</x:v>
      </x:c>
      <x:c r="C50" s="102" t="n">
        <x:v>0.045</x:v>
      </x:c>
      <x:c r="D50" s="102" t="n">
        <x:v>0.03</x:v>
      </x:c>
      <x:c r="E50" s="102" t="n">
        <x:v>0.025</x:v>
      </x:c>
      <x:c r="F50" s="102" t="n">
        <x:v>0.022</x:v>
      </x:c>
      <x:c r="G50" s="102" t="n">
        <x:v>0.02</x:v>
      </x:c>
      <x:c r="H50" s="102" t="n">
        <x:v>0.02</x:v>
      </x:c>
      <x:c r="I50" s="102" t="n">
        <x:v>0.02</x:v>
      </x:c>
      <x:c r="J50" s="102" t="n">
        <x:v>0.02</x:v>
      </x:c>
      <x:c r="K50" s="102" t="n">
        <x:v>0.02</x:v>
      </x:c>
      <x:c r="L50" s="102" t="n">
        <x:v>0.02</x:v>
      </x:c>
    </x:row>
    <x:row r="51" ht="23" customHeight="1">
      <x:c r="A51" s="4"/>
      <x:c r="B51" s="6" t="str">
        <x:v>Restaurant-level margin</x:v>
      </x:c>
      <x:c r="C51" s="102" t="n">
        <x:v>0.237</x:v>
      </x:c>
      <x:c r="D51" s="102" t="n">
        <x:v>0.235</x:v>
      </x:c>
      <x:c r="E51" s="102" t="n">
        <x:v>0.237</x:v>
      </x:c>
      <x:c r="F51" s="102" t="n">
        <x:v>0.239</x:v>
      </x:c>
      <x:c r="G51" s="102" t="n">
        <x:v>0.24</x:v>
      </x:c>
      <x:c r="H51" s="102" t="n">
        <x:v>0.241</x:v>
      </x:c>
      <x:c r="I51" s="102" t="n">
        <x:v>0.242</x:v>
      </x:c>
      <x:c r="J51" s="102" t="n">
        <x:v>0.243</x:v>
      </x:c>
      <x:c r="K51" s="102" t="n">
        <x:v>0.244</x:v>
      </x:c>
      <x:c r="L51" s="102" t="n">
        <x:v>0.245</x:v>
      </x:c>
    </x:row>
    <x:row r="52" ht="23" customHeight="1">
      <x:c r="A52" s="4"/>
      <x:c r="B52" s="6" t="str">
        <x:v>G&amp;A / revenue</x:v>
      </x:c>
      <x:c r="C52" s="102" t="n">
        <x:v>0.11</x:v>
      </x:c>
      <x:c r="D52" s="102" t="n">
        <x:v>0.107</x:v>
      </x:c>
      <x:c r="E52" s="102" t="n">
        <x:v>0.104</x:v>
      </x:c>
      <x:c r="F52" s="102" t="n">
        <x:v>0.1</x:v>
      </x:c>
      <x:c r="G52" s="102" t="n">
        <x:v>0.097</x:v>
      </x:c>
      <x:c r="H52" s="102" t="n">
        <x:v>0.094</x:v>
      </x:c>
      <x:c r="I52" s="102" t="n">
        <x:v>0.091</x:v>
      </x:c>
      <x:c r="J52" s="102" t="n">
        <x:v>0.088</x:v>
      </x:c>
      <x:c r="K52" s="102" t="n">
        <x:v>0.085</x:v>
      </x:c>
      <x:c r="L52" s="102" t="n">
        <x:v>0.082</x:v>
      </x:c>
    </x:row>
    <x:row r="53" ht="23" customHeight="1">
      <x:c r="A53" s="4"/>
      <x:c r="B53" s="6" t="str">
        <x:v>D&amp;A / revenue</x:v>
      </x:c>
      <x:c r="C53" s="102" t="n">
        <x:v>0.065</x:v>
      </x:c>
      <x:c r="D53" s="102" t="n">
        <x:v>0.064</x:v>
      </x:c>
      <x:c r="E53" s="102" t="n">
        <x:v>0.063</x:v>
      </x:c>
      <x:c r="F53" s="102" t="n">
        <x:v>0.062</x:v>
      </x:c>
      <x:c r="G53" s="102" t="n">
        <x:v>0.061</x:v>
      </x:c>
      <x:c r="H53" s="102" t="n">
        <x:v>0.06</x:v>
      </x:c>
      <x:c r="I53" s="102" t="n">
        <x:v>0.059</x:v>
      </x:c>
      <x:c r="J53" s="102" t="n">
        <x:v>0.058</x:v>
      </x:c>
      <x:c r="K53" s="102" t="n">
        <x:v>0.057</x:v>
      </x:c>
      <x:c r="L53" s="102" t="n">
        <x:v>0.056</x:v>
      </x:c>
    </x:row>
    <x:row r="54" ht="23" customHeight="1">
      <x:c r="A54" s="4"/>
      <x:c r="B54" s="6" t="str">
        <x:v>Pre-opening / revenue</x:v>
      </x:c>
      <x:c r="C54" s="102" t="n">
        <x:v>0.019</x:v>
      </x:c>
      <x:c r="D54" s="102" t="n">
        <x:v>0.018</x:v>
      </x:c>
      <x:c r="E54" s="102" t="n">
        <x:v>0.017</x:v>
      </x:c>
      <x:c r="F54" s="102" t="n">
        <x:v>0.016</x:v>
      </x:c>
      <x:c r="G54" s="102" t="n">
        <x:v>0.015</x:v>
      </x:c>
      <x:c r="H54" s="102" t="n">
        <x:v>0.014</x:v>
      </x:c>
      <x:c r="I54" s="102" t="n">
        <x:v>0.013</x:v>
      </x:c>
      <x:c r="J54" s="102" t="n">
        <x:v>0.012</x:v>
      </x:c>
      <x:c r="K54" s="102" t="n">
        <x:v>0.011</x:v>
      </x:c>
      <x:c r="L54" s="102" t="n">
        <x:v>0.01</x:v>
      </x:c>
    </x:row>
    <x:row r="55" ht="23" customHeight="1">
      <x:c r="A55" s="4"/>
      <x:c r="B55" s="6" t="str">
        <x:v>Impairment / revenue</x:v>
      </x:c>
      <x:c r="C55" s="102" t="n">
        <x:v>0.005</x:v>
      </x:c>
      <x:c r="D55" s="102" t="n">
        <x:v>0.005</x:v>
      </x:c>
      <x:c r="E55" s="102" t="n">
        <x:v>0.005</x:v>
      </x:c>
      <x:c r="F55" s="102" t="n">
        <x:v>0.005</x:v>
      </x:c>
      <x:c r="G55" s="102" t="n">
        <x:v>0.005</x:v>
      </x:c>
      <x:c r="H55" s="102" t="n">
        <x:v>0.005</x:v>
      </x:c>
      <x:c r="I55" s="102" t="n">
        <x:v>0.005</x:v>
      </x:c>
      <x:c r="J55" s="102" t="n">
        <x:v>0.005</x:v>
      </x:c>
      <x:c r="K55" s="102" t="n">
        <x:v>0.005</x:v>
      </x:c>
      <x:c r="L55" s="102" t="n">
        <x:v>0.005</x:v>
      </x:c>
    </x:row>
    <x:row r="56" ht="23" customHeight="1">
      <x:c r="A56" s="4"/>
      <x:c r="B56" s="6" t="str">
        <x:v>New-store capex / opening</x:v>
      </x:c>
      <x:c r="C56" s="98" t="n">
        <x:v>1.95</x:v>
      </x:c>
      <x:c r="D56" s="96" t="n">
        <x:f>C56*(1+$G$10)</x:f>
        <x:v>2.0182499999999997</x:v>
      </x:c>
      <x:c r="E56" s="96" t="n">
        <x:f>D56*(1+$G$10)</x:f>
        <x:v>2.0888887499999993</x:v>
      </x:c>
      <x:c r="F56" s="96" t="n">
        <x:f>E56*(1+$G$10)</x:f>
        <x:v>2.161999856249999</x:v>
      </x:c>
      <x:c r="G56" s="96" t="n">
        <x:f>F56*(1+$G$10)</x:f>
        <x:v>2.2376698512187487</x:v>
      </x:c>
      <x:c r="H56" s="96" t="n">
        <x:f>G56*(1+$G$10)</x:f>
        <x:v>2.3159882960114047</x:v>
      </x:c>
      <x:c r="I56" s="96" t="n">
        <x:f>H56*(1+$G$10)</x:f>
        <x:v>2.3970478863718037</x:v>
      </x:c>
      <x:c r="J56" s="96" t="n">
        <x:f>I56*(1+$G$10)</x:f>
        <x:v>2.4809445623948165</x:v>
      </x:c>
      <x:c r="K56" s="96" t="n">
        <x:f>J56*(1+$G$10)</x:f>
        <x:v>2.567777622078635</x:v>
      </x:c>
      <x:c r="L56" s="96" t="n">
        <x:f>K56*(1+$G$10)</x:f>
        <x:v>2.6576498388513867</x:v>
      </x:c>
    </x:row>
    <x:row r="57" ht="23" customHeight="1">
      <x:c r="A57" s="4"/>
      <x:c r="B57" s="6" t="str">
        <x:v>Maintenance capex / revenue</x:v>
      </x:c>
      <x:c r="C57" s="102" t="n">
        <x:v>0.017</x:v>
      </x:c>
      <x:c r="D57" s="102" t="n">
        <x:v>0.017</x:v>
      </x:c>
      <x:c r="E57" s="102" t="n">
        <x:v>0.017</x:v>
      </x:c>
      <x:c r="F57" s="102" t="n">
        <x:v>0.017</x:v>
      </x:c>
      <x:c r="G57" s="102" t="n">
        <x:v>0.017</x:v>
      </x:c>
      <x:c r="H57" s="102" t="n">
        <x:v>0.017</x:v>
      </x:c>
      <x:c r="I57" s="102" t="n">
        <x:v>0.017</x:v>
      </x:c>
      <x:c r="J57" s="102" t="n">
        <x:v>0.017</x:v>
      </x:c>
      <x:c r="K57" s="102" t="n">
        <x:v>0.017</x:v>
      </x:c>
      <x:c r="L57" s="102" t="n">
        <x:v>0.017</x:v>
      </x:c>
    </x:row>
    <x:row r="58" ht="23" customHeight="1">
      <x:c r="A58" s="4"/>
      <x:c r="B58" s="6" t="str">
        <x:v>Infrastructure capex</x:v>
      </x:c>
      <x:c r="C58" s="98" t="n">
        <x:v>18</x:v>
      </x:c>
      <x:c r="D58" s="98" t="n">
        <x:v>18</x:v>
      </x:c>
      <x:c r="E58" s="98" t="n">
        <x:v>18</x:v>
      </x:c>
      <x:c r="F58" s="98" t="n">
        <x:v>18</x:v>
      </x:c>
      <x:c r="G58" s="98" t="n">
        <x:v>18</x:v>
      </x:c>
      <x:c r="H58" s="98" t="n">
        <x:v>18</x:v>
      </x:c>
      <x:c r="I58" s="98" t="n">
        <x:v>18</x:v>
      </x:c>
      <x:c r="J58" s="98" t="n">
        <x:v>18</x:v>
      </x:c>
      <x:c r="K58" s="98" t="n">
        <x:v>18</x:v>
      </x:c>
      <x:c r="L58" s="98" t="n">
        <x:v>18</x:v>
      </x:c>
    </x:row>
    <x:row r="59" ht="23" customHeight="1">
      <x:c r="A59" s="4"/>
      <x:c r="B59" s="4"/>
      <x:c r="C59" s="4"/>
      <x:c r="D59" s="4"/>
      <x:c r="E59" s="4"/>
      <x:c r="F59" s="4"/>
      <x:c r="G59" s="4"/>
      <x:c r="H59" s="4"/>
      <x:c r="I59" s="4"/>
      <x:c r="J59" s="4"/>
      <x:c r="K59" s="4"/>
      <x:c r="L59" s="4"/>
    </x:row>
    <x:row r="60" ht="23" customHeight="1">
      <x:c r="A60" s="4"/>
      <x:c r="B60" s="4"/>
      <x:c r="C60" s="4"/>
      <x:c r="D60" s="4"/>
      <x:c r="E60" s="4"/>
      <x:c r="F60" s="4"/>
      <x:c r="G60" s="4"/>
      <x:c r="H60" s="4"/>
      <x:c r="I60" s="4"/>
      <x:c r="J60" s="4"/>
      <x:c r="K60" s="4"/>
      <x:c r="L60" s="4"/>
    </x:row>
    <x:row r="61" ht="25" customHeight="1">
      <x:c r="A61" s="4"/>
      <x:c r="B61" s="57" t="str">
        <x:v>Upside Case Operating Drivers</x:v>
      </x:c>
      <x:c r="C61" s="58"/>
      <x:c r="D61" s="58"/>
      <x:c r="E61" s="58"/>
      <x:c r="F61" s="58"/>
      <x:c r="G61" s="58"/>
      <x:c r="H61" s="58"/>
      <x:c r="I61" s="58"/>
      <x:c r="J61" s="58"/>
      <x:c r="K61" s="58"/>
      <x:c r="L61" s="58"/>
    </x:row>
    <x:row r="62" ht="34" customHeight="1">
      <x:c r="A62" s="4"/>
      <x:c r="B62" s="40" t="str">
        <x:v>Assumption</x:v>
      </x:c>
      <x:c r="C62" s="40" t="str">
        <x:v>FY2026E</x:v>
      </x:c>
      <x:c r="D62" s="40" t="str">
        <x:v>FY2027E</x:v>
      </x:c>
      <x:c r="E62" s="40" t="str">
        <x:v>FY2028E</x:v>
      </x:c>
      <x:c r="F62" s="40" t="str">
        <x:v>FY2029E</x:v>
      </x:c>
      <x:c r="G62" s="40" t="str">
        <x:v>FY2030E</x:v>
      </x:c>
      <x:c r="H62" s="40" t="str">
        <x:v>FY2031E</x:v>
      </x:c>
      <x:c r="I62" s="40" t="str">
        <x:v>FY2032E</x:v>
      </x:c>
      <x:c r="J62" s="40" t="str">
        <x:v>FY2033E</x:v>
      </x:c>
      <x:c r="K62" s="40" t="str">
        <x:v>FY2034E</x:v>
      </x:c>
      <x:c r="L62" s="40" t="str">
        <x:v>FY2035E</x:v>
      </x:c>
    </x:row>
    <x:row r="63" ht="23" customHeight="1">
      <x:c r="A63" s="4"/>
      <x:c r="B63" s="6" t="str">
        <x:v>New openings</x:v>
      </x:c>
      <x:c r="C63" s="98" t="n">
        <x:v>77</x:v>
      </x:c>
      <x:c r="D63" s="98" t="n">
        <x:v>88</x:v>
      </x:c>
      <x:c r="E63" s="98" t="n">
        <x:v>96</x:v>
      </x:c>
      <x:c r="F63" s="98" t="n">
        <x:v>104</x:v>
      </x:c>
      <x:c r="G63" s="98" t="n">
        <x:v>110</x:v>
      </x:c>
      <x:c r="H63" s="98" t="n">
        <x:v>112</x:v>
      </x:c>
      <x:c r="I63" s="98" t="n">
        <x:v>112</x:v>
      </x:c>
      <x:c r="J63" s="98" t="n">
        <x:v>110</x:v>
      </x:c>
      <x:c r="K63" s="98" t="n">
        <x:v>105</x:v>
      </x:c>
      <x:c r="L63" s="98" t="n">
        <x:v>100</x:v>
      </x:c>
    </x:row>
    <x:row r="64" ht="23" customHeight="1">
      <x:c r="A64" s="4"/>
      <x:c r="B64" s="6" t="str">
        <x:v>Same-restaurant sales</x:v>
      </x:c>
      <x:c r="C64" s="102" t="n">
        <x:v>0.065</x:v>
      </x:c>
      <x:c r="D64" s="102" t="n">
        <x:v>0.055</x:v>
      </x:c>
      <x:c r="E64" s="102" t="n">
        <x:v>0.05</x:v>
      </x:c>
      <x:c r="F64" s="102" t="n">
        <x:v>0.045</x:v>
      </x:c>
      <x:c r="G64" s="102" t="n">
        <x:v>0.04</x:v>
      </x:c>
      <x:c r="H64" s="102" t="n">
        <x:v>0.038</x:v>
      </x:c>
      <x:c r="I64" s="102" t="n">
        <x:v>0.035</x:v>
      </x:c>
      <x:c r="J64" s="102" t="n">
        <x:v>0.032</x:v>
      </x:c>
      <x:c r="K64" s="102" t="n">
        <x:v>0.03</x:v>
      </x:c>
      <x:c r="L64" s="102" t="n">
        <x:v>0.03</x:v>
      </x:c>
    </x:row>
    <x:row r="65" ht="23" customHeight="1">
      <x:c r="A65" s="4"/>
      <x:c r="B65" s="6" t="str">
        <x:v>Restaurant-level margin</x:v>
      </x:c>
      <x:c r="C65" s="102" t="n">
        <x:v>0.243</x:v>
      </x:c>
      <x:c r="D65" s="102" t="n">
        <x:v>0.248</x:v>
      </x:c>
      <x:c r="E65" s="102" t="n">
        <x:v>0.252</x:v>
      </x:c>
      <x:c r="F65" s="102" t="n">
        <x:v>0.255</x:v>
      </x:c>
      <x:c r="G65" s="102" t="n">
        <x:v>0.258</x:v>
      </x:c>
      <x:c r="H65" s="102" t="n">
        <x:v>0.26</x:v>
      </x:c>
      <x:c r="I65" s="102" t="n">
        <x:v>0.262</x:v>
      </x:c>
      <x:c r="J65" s="102" t="n">
        <x:v>0.264</x:v>
      </x:c>
      <x:c r="K65" s="102" t="n">
        <x:v>0.265</x:v>
      </x:c>
      <x:c r="L65" s="102" t="n">
        <x:v>0.266</x:v>
      </x:c>
    </x:row>
    <x:row r="66" ht="23" customHeight="1">
      <x:c r="A66" s="4"/>
      <x:c r="B66" s="6" t="str">
        <x:v>G&amp;A / revenue</x:v>
      </x:c>
      <x:c r="C66" s="102" t="n">
        <x:v>0.1</x:v>
      </x:c>
      <x:c r="D66" s="102" t="n">
        <x:v>0.094</x:v>
      </x:c>
      <x:c r="E66" s="102" t="n">
        <x:v>0.088</x:v>
      </x:c>
      <x:c r="F66" s="102" t="n">
        <x:v>0.083</x:v>
      </x:c>
      <x:c r="G66" s="102" t="n">
        <x:v>0.078</x:v>
      </x:c>
      <x:c r="H66" s="102" t="n">
        <x:v>0.074</x:v>
      </x:c>
      <x:c r="I66" s="102" t="n">
        <x:v>0.071</x:v>
      </x:c>
      <x:c r="J66" s="102" t="n">
        <x:v>0.068</x:v>
      </x:c>
      <x:c r="K66" s="102" t="n">
        <x:v>0.065</x:v>
      </x:c>
      <x:c r="L66" s="102" t="n">
        <x:v>0.062</x:v>
      </x:c>
    </x:row>
    <x:row r="67" ht="23" customHeight="1">
      <x:c r="A67" s="4"/>
      <x:c r="B67" s="6" t="str">
        <x:v>D&amp;A / revenue</x:v>
      </x:c>
      <x:c r="C67" s="102" t="n">
        <x:v>0.061</x:v>
      </x:c>
      <x:c r="D67" s="102" t="n">
        <x:v>0.058</x:v>
      </x:c>
      <x:c r="E67" s="102" t="n">
        <x:v>0.055</x:v>
      </x:c>
      <x:c r="F67" s="102" t="n">
        <x:v>0.052</x:v>
      </x:c>
      <x:c r="G67" s="102" t="n">
        <x:v>0.05</x:v>
      </x:c>
      <x:c r="H67" s="102" t="n">
        <x:v>0.048</x:v>
      </x:c>
      <x:c r="I67" s="102" t="n">
        <x:v>0.046</x:v>
      </x:c>
      <x:c r="J67" s="102" t="n">
        <x:v>0.044</x:v>
      </x:c>
      <x:c r="K67" s="102" t="n">
        <x:v>0.043</x:v>
      </x:c>
      <x:c r="L67" s="102" t="n">
        <x:v>0.042</x:v>
      </x:c>
    </x:row>
    <x:row r="68" ht="23" customHeight="1">
      <x:c r="A68" s="4"/>
      <x:c r="B68" s="6" t="str">
        <x:v>Pre-opening / revenue</x:v>
      </x:c>
      <x:c r="C68" s="102" t="n">
        <x:v>0.017</x:v>
      </x:c>
      <x:c r="D68" s="102" t="n">
        <x:v>0.015</x:v>
      </x:c>
      <x:c r="E68" s="102" t="n">
        <x:v>0.013</x:v>
      </x:c>
      <x:c r="F68" s="102" t="n">
        <x:v>0.012</x:v>
      </x:c>
      <x:c r="G68" s="102" t="n">
        <x:v>0.011</x:v>
      </x:c>
      <x:c r="H68" s="102" t="n">
        <x:v>0.01</x:v>
      </x:c>
      <x:c r="I68" s="102" t="n">
        <x:v>0.009</x:v>
      </x:c>
      <x:c r="J68" s="102" t="n">
        <x:v>0.008</x:v>
      </x:c>
      <x:c r="K68" s="102" t="n">
        <x:v>0.007</x:v>
      </x:c>
      <x:c r="L68" s="102" t="n">
        <x:v>0.006</x:v>
      </x:c>
    </x:row>
    <x:row r="69" ht="23" customHeight="1">
      <x:c r="A69" s="4"/>
      <x:c r="B69" s="6" t="str">
        <x:v>Impairment / revenue</x:v>
      </x:c>
      <x:c r="C69" s="102" t="n">
        <x:v>0.0035</x:v>
      </x:c>
      <x:c r="D69" s="102" t="n">
        <x:v>0.0035</x:v>
      </x:c>
      <x:c r="E69" s="102" t="n">
        <x:v>0.0035</x:v>
      </x:c>
      <x:c r="F69" s="102" t="n">
        <x:v>0.0035</x:v>
      </x:c>
      <x:c r="G69" s="102" t="n">
        <x:v>0.003</x:v>
      </x:c>
      <x:c r="H69" s="102" t="n">
        <x:v>0.003</x:v>
      </x:c>
      <x:c r="I69" s="102" t="n">
        <x:v>0.003</x:v>
      </x:c>
      <x:c r="J69" s="102" t="n">
        <x:v>0.003</x:v>
      </x:c>
      <x:c r="K69" s="102" t="n">
        <x:v>0.003</x:v>
      </x:c>
      <x:c r="L69" s="102" t="n">
        <x:v>0.003</x:v>
      </x:c>
    </x:row>
    <x:row r="70" ht="23" customHeight="1">
      <x:c r="A70" s="4"/>
      <x:c r="B70" s="6" t="str">
        <x:v>New-store capex / opening</x:v>
      </x:c>
      <x:c r="C70" s="98" t="n">
        <x:v>1.75</x:v>
      </x:c>
      <x:c r="D70" s="96" t="n">
        <x:f>C70*(1+$G$11)</x:f>
        <x:v>1.7850000000000001</x:v>
      </x:c>
      <x:c r="E70" s="96" t="n">
        <x:f>D70*(1+$G$11)</x:f>
        <x:v>1.8207000000000002</x:v>
      </x:c>
      <x:c r="F70" s="96" t="n">
        <x:f>E70*(1+$G$11)</x:f>
        <x:v>1.8571140000000002</x:v>
      </x:c>
      <x:c r="G70" s="96" t="n">
        <x:f>F70*(1+$G$11)</x:f>
        <x:v>1.8942562800000002</x:v>
      </x:c>
      <x:c r="H70" s="96" t="n">
        <x:f>G70*(1+$G$11)</x:f>
        <x:v>1.9321414056000004</x:v>
      </x:c>
      <x:c r="I70" s="96" t="n">
        <x:f>H70*(1+$G$11)</x:f>
        <x:v>1.9707842337120005</x:v>
      </x:c>
      <x:c r="J70" s="96" t="n">
        <x:f>I70*(1+$G$11)</x:f>
        <x:v>2.0101999183862405</x:v>
      </x:c>
      <x:c r="K70" s="96" t="n">
        <x:f>J70*(1+$G$11)</x:f>
        <x:v>2.0504039167539654</x:v>
      </x:c>
      <x:c r="L70" s="96" t="n">
        <x:f>K70*(1+$G$11)</x:f>
        <x:v>2.091411995089045</x:v>
      </x:c>
    </x:row>
    <x:row r="71" ht="23" customHeight="1">
      <x:c r="A71" s="4"/>
      <x:c r="B71" s="6" t="str">
        <x:v>Maintenance capex / revenue</x:v>
      </x:c>
      <x:c r="C71" s="102" t="n">
        <x:v>0.014</x:v>
      </x:c>
      <x:c r="D71" s="102" t="n">
        <x:v>0.014</x:v>
      </x:c>
      <x:c r="E71" s="102" t="n">
        <x:v>0.014</x:v>
      </x:c>
      <x:c r="F71" s="102" t="n">
        <x:v>0.014</x:v>
      </x:c>
      <x:c r="G71" s="102" t="n">
        <x:v>0.014</x:v>
      </x:c>
      <x:c r="H71" s="102" t="n">
        <x:v>0.014</x:v>
      </x:c>
      <x:c r="I71" s="102" t="n">
        <x:v>0.014</x:v>
      </x:c>
      <x:c r="J71" s="102" t="n">
        <x:v>0.014</x:v>
      </x:c>
      <x:c r="K71" s="102" t="n">
        <x:v>0.014</x:v>
      </x:c>
      <x:c r="L71" s="102" t="n">
        <x:v>0.014</x:v>
      </x:c>
    </x:row>
    <x:row r="72" ht="23" customHeight="1">
      <x:c r="A72" s="4"/>
      <x:c r="B72" s="6" t="str">
        <x:v>Infrastructure capex</x:v>
      </x:c>
      <x:c r="C72" s="98" t="n">
        <x:v>14</x:v>
      </x:c>
      <x:c r="D72" s="98" t="n">
        <x:v>14</x:v>
      </x:c>
      <x:c r="E72" s="98" t="n">
        <x:v>14</x:v>
      </x:c>
      <x:c r="F72" s="98" t="n">
        <x:v>14</x:v>
      </x:c>
      <x:c r="G72" s="98" t="n">
        <x:v>14</x:v>
      </x:c>
      <x:c r="H72" s="98" t="n">
        <x:v>14</x:v>
      </x:c>
      <x:c r="I72" s="98" t="n">
        <x:v>14</x:v>
      </x:c>
      <x:c r="J72" s="98" t="n">
        <x:v>14</x:v>
      </x:c>
      <x:c r="K72" s="98" t="n">
        <x:v>14</x:v>
      </x:c>
      <x:c r="L72" s="98" t="n">
        <x:v>14</x:v>
      </x:c>
    </x:row>
    <x:row r="73" ht="23" customHeight="1">
      <x:c r="A73" s="4"/>
      <x:c r="B73" s="4"/>
      <x:c r="C73" s="4"/>
      <x:c r="D73" s="4"/>
      <x:c r="E73" s="4"/>
      <x:c r="F73" s="4"/>
      <x:c r="G73" s="4"/>
      <x:c r="H73" s="4"/>
      <x:c r="I73" s="4"/>
      <x:c r="J73" s="4"/>
      <x:c r="K73" s="4"/>
      <x:c r="L73" s="4"/>
    </x:row>
    <x:row r="74" ht="25" customHeight="1">
      <x:c r="A74" s="4"/>
      <x:c r="B74" s="57" t="str">
        <x:v>Terminal Return Assumptions</x:v>
      </x:c>
      <x:c r="C74" s="58"/>
      <x:c r="D74" s="58"/>
      <x:c r="E74" s="58"/>
      <x:c r="F74" s="58"/>
      <x:c r="G74" s="58"/>
      <x:c r="H74" s="58"/>
      <x:c r="I74" s="58"/>
      <x:c r="J74" s="58"/>
      <x:c r="K74" s="58"/>
      <x:c r="L74" s="58"/>
    </x:row>
    <x:row r="75" ht="50" customHeight="1">
      <x:c r="A75" s="4"/>
      <x:c r="B75" s="6" t="str">
        <x:v>Base terminal return on capital</x:v>
      </x:c>
      <x:c r="C75" s="126" t="n">
        <x:v>0.2</x:v>
      </x:c>
      <x:c r="D75" s="43" t="str">
        <x:v>Assumption. Terminal reinvestment equals growth divided by this return. Terminal cash flow is after-tax operating profit less that reinvestment.</x:v>
      </x:c>
      <x:c r="E75" s="25"/>
      <x:c r="F75" s="25"/>
      <x:c r="G75" s="25"/>
      <x:c r="H75" s="4"/>
      <x:c r="I75" s="4"/>
      <x:c r="J75" s="4"/>
      <x:c r="K75" s="4"/>
      <x:c r="L75" s="4"/>
    </x:row>
    <x:row r="76" ht="50" customHeight="1">
      <x:c r="A76" s="4"/>
      <x:c r="B76" s="7" t="str">
        <x:v>Downside terminal return on capital</x:v>
      </x:c>
      <x:c r="C76" s="126" t="n">
        <x:v>0.15</x:v>
      </x:c>
      <x:c r="D76" s="43" t="str">
        <x:v>Assumption. Terminal reinvestment equals growth divided by this return. Terminal cash flow is after-tax operating profit less that reinvestment.</x:v>
      </x:c>
      <x:c r="E76" s="25"/>
      <x:c r="F76" s="25"/>
      <x:c r="G76" s="25"/>
      <x:c r="H76" s="4"/>
      <x:c r="I76" s="4"/>
      <x:c r="J76" s="4"/>
      <x:c r="K76" s="4"/>
      <x:c r="L76" s="4"/>
    </x:row>
    <x:row r="77" ht="50" customHeight="1">
      <x:c r="A77" s="4"/>
      <x:c r="B77" s="7" t="str">
        <x:v>Upside terminal return on capital</x:v>
      </x:c>
      <x:c r="C77" s="126" t="n">
        <x:v>0.25</x:v>
      </x:c>
      <x:c r="D77" s="43" t="str">
        <x:v>Assumption. Terminal reinvestment equals growth divided by this return. Terminal cash flow is after-tax operating profit less that reinvestment.</x:v>
      </x:c>
      <x:c r="E77" s="25"/>
      <x:c r="F77" s="25"/>
      <x:c r="G77" s="25"/>
      <x:c r="H77" s="4"/>
      <x:c r="I77" s="4"/>
      <x:c r="J77" s="4"/>
      <x:c r="K77" s="4"/>
      <x:c r="L77" s="4"/>
    </x:row>
    <x:row r="78" ht="23" customHeight="1">
      <x:c r="A78" s="4"/>
      <x:c r="B78" s="4"/>
      <x:c r="C78" s="4"/>
      <x:c r="D78" s="4"/>
      <x:c r="E78" s="4"/>
      <x:c r="F78" s="4"/>
      <x:c r="G78" s="4"/>
      <x:c r="H78" s="4"/>
      <x:c r="I78" s="4"/>
      <x:c r="J78" s="4"/>
      <x:c r="K78" s="4"/>
      <x:c r="L78" s="4"/>
    </x:row>
    <x:row r="79" ht="23" customHeight="1">
      <x:c r="A79" s="4"/>
      <x:c r="B79" s="4"/>
      <x:c r="C79" s="4"/>
      <x:c r="D79" s="4"/>
      <x:c r="E79" s="4"/>
      <x:c r="F79" s="4"/>
      <x:c r="G79" s="4"/>
      <x:c r="H79" s="4"/>
      <x:c r="I79" s="4"/>
      <x:c r="J79" s="4"/>
      <x:c r="K79" s="4"/>
      <x:c r="L79" s="4"/>
    </x:row>
    <x:row r="80" ht="23" customHeight="1">
      <x:c r="A80" s="4"/>
      <x:c r="B80" s="4"/>
      <x:c r="C80" s="4"/>
      <x:c r="D80" s="4"/>
      <x:c r="E80" s="4"/>
      <x:c r="F80" s="4"/>
      <x:c r="G80" s="4"/>
      <x:c r="H80" s="4"/>
      <x:c r="I80" s="4"/>
      <x:c r="J80" s="4"/>
      <x:c r="K80" s="4"/>
      <x:c r="L80" s="4"/>
    </x:row>
  </x:sheetData>
  <x:mergeCells>
    <x:mergeCell ref="D5:E5"/>
    <x:mergeCell ref="D6:E6"/>
    <x:mergeCell ref="H6:L6"/>
    <x:mergeCell ref="D7:E7"/>
    <x:mergeCell ref="H7:L7"/>
    <x:mergeCell ref="D8:E8"/>
    <x:mergeCell ref="H8:L8"/>
    <x:mergeCell ref="D9:E9"/>
    <x:mergeCell ref="H9:L9"/>
    <x:mergeCell ref="D10:E10"/>
    <x:mergeCell ref="H10:L10"/>
    <x:mergeCell ref="D11:E11"/>
    <x:mergeCell ref="H11:L11"/>
    <x:mergeCell ref="D12:E12"/>
    <x:mergeCell ref="H12:L12"/>
    <x:mergeCell ref="D13:E13"/>
    <x:mergeCell ref="H13:L13"/>
    <x:mergeCell ref="D14:E14"/>
    <x:mergeCell ref="H14:L14"/>
    <x:mergeCell ref="D15:E15"/>
    <x:mergeCell ref="D16:E16"/>
    <x:mergeCell ref="D17:E17"/>
    <x:mergeCell ref="D18:E18"/>
    <x:mergeCell ref="D19:E19"/>
    <x:mergeCell ref="D20:E20"/>
    <x:mergeCell ref="D21:E21"/>
    <x:mergeCell ref="D22:E22"/>
    <x:mergeCell ref="D23:E23"/>
    <x:mergeCell ref="D24:E24"/>
    <x:mergeCell ref="D25:E25"/>
    <x:mergeCell ref="D26:E26"/>
    <x:mergeCell ref="D27:E27"/>
    <x:mergeCell ref="D28:E28"/>
    <x:mergeCell ref="D29:E29"/>
    <x:mergeCell ref="D30:E30"/>
    <x:mergeCell ref="D31:E31"/>
    <x:mergeCell ref="D75:G75"/>
    <x:mergeCell ref="D76:G76"/>
    <x:mergeCell ref="D77:G77"/>
  </x:mergeCells>
  <x:pageMargins left="0.7" right="0.7" top="0.75" bottom="0.75" header="0.3" footer="0.3"/>
</x:worksheet>
</file>

<file path=xl/worksheets/sheet5.xml><?xml version="1.0" encoding="utf-8"?>
<x:worksheet xmlns:x="http://schemas.openxmlformats.org/spreadsheetml/2006/main">
  <x:sheetPr>
    <x:tabColor rgb="FFC8D1D8"/>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31" customHeight="1">
      <x:c r="A1" s="6"/>
      <x:c r="B1" s="22" t="str">
        <x:v>CAVA, Base-Case Forecast</x:v>
      </x:c>
      <x:c r="C1" s="22"/>
      <x:c r="D1" s="22"/>
      <x:c r="E1" s="22"/>
      <x:c r="F1" s="22"/>
      <x:c r="G1" s="22"/>
      <x:c r="H1" s="22"/>
      <x:c r="I1" s="22"/>
      <x:c r="J1" s="22"/>
      <x:c r="K1" s="22"/>
      <x:c r="L1" s="22"/>
      <x:c r="M1" s="22"/>
      <x:c r="N1" s="22"/>
      <x:c r="O1" s="22"/>
      <x:c r="P1" s="22"/>
      <x:c r="Q1" s="22"/>
    </x:row>
    <x:row r="2" ht="34" customHeight="1">
      <x:c r="A2" s="7"/>
      <x:c r="B2" s="26" t="str">
        <x:v>FY2026-FY2035 forecast. Growth slows in FY2031-FY2035.</x:v>
      </x:c>
      <x:c r="C2" s="26"/>
      <x:c r="D2" s="26"/>
      <x:c r="E2" s="26"/>
      <x:c r="F2" s="26"/>
      <x:c r="G2" s="26"/>
      <x:c r="H2" s="26"/>
      <x:c r="I2" s="26"/>
      <x:c r="J2" s="26"/>
      <x:c r="K2" s="26"/>
      <x:c r="L2" s="26"/>
      <x:c r="M2" s="26"/>
      <x:c r="N2" s="26"/>
      <x:c r="O2" s="26"/>
      <x:c r="P2" s="26"/>
      <x:c r="Q2" s="26"/>
    </x:row>
    <x:row r="3" ht="23" customHeight="1">
      <x:c r="A3" s="4"/>
      <x:c r="B3" s="4"/>
      <x:c r="C3" s="4"/>
      <x:c r="D3" s="4"/>
      <x:c r="E3" s="4"/>
      <x:c r="F3" s="4"/>
      <x:c r="G3" s="4"/>
      <x:c r="H3" s="4"/>
      <x:c r="I3" s="4"/>
      <x:c r="J3" s="4"/>
      <x:c r="K3" s="4"/>
      <x:c r="L3" s="4"/>
      <x:c r="M3" s="4"/>
      <x:c r="N3" s="4"/>
      <x:c r="O3" s="4"/>
      <x:c r="P3" s="4"/>
      <x:c r="Q3" s="4"/>
    </x:row>
    <x:row r="4" ht="25" customHeight="1">
      <x:c r="A4" s="4"/>
      <x:c r="B4" s="57" t="str">
        <x:v>Base Forecast</x:v>
      </x:c>
      <x:c r="C4" s="58"/>
      <x:c r="D4" s="58"/>
      <x:c r="E4" s="58"/>
      <x:c r="F4" s="58"/>
      <x:c r="G4" s="58"/>
      <x:c r="H4" s="58"/>
      <x:c r="I4" s="58"/>
      <x:c r="J4" s="58"/>
      <x:c r="K4" s="58"/>
      <x:c r="L4" s="58"/>
      <x:c r="M4" s="58"/>
      <x:c r="N4" s="58"/>
      <x:c r="O4" s="58"/>
      <x:c r="P4" s="58"/>
      <x:c r="Q4" s="58"/>
    </x:row>
    <x:row r="5" ht="34" customHeight="1">
      <x:c r="A5" s="4"/>
      <x:c r="B5" s="40" t="str">
        <x:v>Metric</x:v>
      </x:c>
      <x:c r="C5" s="40" t="str">
        <x:v>FY2026E</x:v>
      </x:c>
      <x:c r="D5" s="40" t="str">
        <x:v>FY2027E</x:v>
      </x:c>
      <x:c r="E5" s="40" t="str">
        <x:v>FY2028E</x:v>
      </x:c>
      <x:c r="F5" s="40" t="str">
        <x:v>FY2029E</x:v>
      </x:c>
      <x:c r="G5" s="40" t="str">
        <x:v>FY2030E</x:v>
      </x:c>
      <x:c r="H5" s="40" t="str">
        <x:v>FY2031E</x:v>
      </x:c>
      <x:c r="I5" s="40" t="str">
        <x:v>FY2032E</x:v>
      </x:c>
      <x:c r="J5" s="40" t="str">
        <x:v>FY2033E</x:v>
      </x:c>
      <x:c r="K5" s="40" t="str">
        <x:v>FY2034E</x:v>
      </x:c>
      <x:c r="L5" s="40" t="str">
        <x:v>FY2035E</x:v>
      </x:c>
      <x:c r="M5" s="42"/>
      <x:c r="N5" s="40" t="str">
        <x:v>Year</x:v>
      </x:c>
      <x:c r="O5" s="40" t="str">
        <x:v>Revenue</x:v>
      </x:c>
      <x:c r="P5" s="40" t="str">
        <x:v>EBIT</x:v>
      </x:c>
      <x:c r="Q5" s="40" t="str">
        <x:v>FCFF</x:v>
      </x:c>
    </x:row>
    <x:row r="6" ht="23" customHeight="1">
      <x:c r="A6" s="4"/>
      <x:c r="B6" s="6" t="str">
        <x:v>Beginning restaurants</x:v>
      </x:c>
      <x:c r="C6" s="105" t="n">
        <x:f>'Scenarios'!C6</x:f>
        <x:v>439</x:v>
      </x:c>
      <x:c r="D6" s="105" t="n">
        <x:f>'Scenarios'!D6</x:f>
        <x:v>515</x:v>
      </x:c>
      <x:c r="E6" s="105" t="n">
        <x:f>'Scenarios'!E6</x:f>
        <x:v>597</x:v>
      </x:c>
      <x:c r="F6" s="105" t="n">
        <x:f>'Scenarios'!F6</x:f>
        <x:v>683</x:v>
      </x:c>
      <x:c r="G6" s="105" t="n">
        <x:f>'Scenarios'!G6</x:f>
        <x:v>771</x:v>
      </x:c>
      <x:c r="H6" s="105" t="n">
        <x:f>'Scenarios'!H6</x:f>
        <x:v>861</x:v>
      </x:c>
      <x:c r="I6" s="105" t="n">
        <x:f>'Scenarios'!I6</x:f>
        <x:v>951</x:v>
      </x:c>
      <x:c r="J6" s="105" t="n">
        <x:f>'Scenarios'!J6</x:f>
        <x:v>1039</x:v>
      </x:c>
      <x:c r="K6" s="105" t="n">
        <x:f>'Scenarios'!K6</x:f>
        <x:v>1123</x:v>
      </x:c>
      <x:c r="L6" s="105" t="n">
        <x:f>'Scenarios'!L6</x:f>
        <x:v>1201</x:v>
      </x:c>
      <x:c r="M6" s="4"/>
      <x:c r="N6" s="93" t="n">
        <x:v>2026</x:v>
      </x:c>
      <x:c r="O6" s="96" t="n">
        <x:f>C10</x:f>
        <x:v>1454.0750201612905</x:v>
      </x:c>
      <x:c r="P6" s="96" t="n">
        <x:f>C13</x:f>
        <x:v>63.8333385443521</x:v>
      </x:c>
      <x:c r="Q6" s="96" t="n">
        <x:f>C18</x:f>
        <x:v>-27.023059861897217</x:v>
      </x:c>
    </x:row>
    <x:row r="7" ht="23" customHeight="1">
      <x:c r="A7" s="4"/>
      <x:c r="B7" s="6" t="str">
        <x:v>New openings</x:v>
      </x:c>
      <x:c r="C7" s="105" t="n">
        <x:f>'Scenarios'!C7</x:f>
        <x:v>76</x:v>
      </x:c>
      <x:c r="D7" s="105" t="n">
        <x:f>'Scenarios'!D7</x:f>
        <x:v>82</x:v>
      </x:c>
      <x:c r="E7" s="105" t="n">
        <x:f>'Scenarios'!E7</x:f>
        <x:v>86</x:v>
      </x:c>
      <x:c r="F7" s="105" t="n">
        <x:f>'Scenarios'!F7</x:f>
        <x:v>88</x:v>
      </x:c>
      <x:c r="G7" s="105" t="n">
        <x:f>'Scenarios'!G7</x:f>
        <x:v>90</x:v>
      </x:c>
      <x:c r="H7" s="105" t="n">
        <x:f>'Scenarios'!H7</x:f>
        <x:v>90</x:v>
      </x:c>
      <x:c r="I7" s="105" t="n">
        <x:f>'Scenarios'!I7</x:f>
        <x:v>88</x:v>
      </x:c>
      <x:c r="J7" s="105" t="n">
        <x:f>'Scenarios'!J7</x:f>
        <x:v>84</x:v>
      </x:c>
      <x:c r="K7" s="105" t="n">
        <x:f>'Scenarios'!K7</x:f>
        <x:v>78</x:v>
      </x:c>
      <x:c r="L7" s="105" t="n">
        <x:f>'Scenarios'!L7</x:f>
        <x:v>70</x:v>
      </x:c>
      <x:c r="M7" s="4"/>
      <x:c r="N7" s="93" t="n">
        <x:v>2027</x:v>
      </x:c>
      <x:c r="O7" s="96" t="n">
        <x:f>D10</x:f>
        <x:v>1774.8249355796368</x:v>
      </x:c>
      <x:c r="P7" s="96" t="n">
        <x:f>D13</x:f>
        <x:v>99.18363946860217</x:v>
      </x:c>
      <x:c r="Q7" s="96" t="n">
        <x:f>D18</x:f>
        <x:v>-4.241174336542375</x:v>
      </x:c>
    </x:row>
    <x:row r="8" ht="23" customHeight="1">
      <x:c r="A8" s="4"/>
      <x:c r="B8" s="6" t="str">
        <x:v>Ending restaurants</x:v>
      </x:c>
      <x:c r="C8" s="105" t="n">
        <x:f>'Scenarios'!C8</x:f>
        <x:v>515</x:v>
      </x:c>
      <x:c r="D8" s="105" t="n">
        <x:f>'Scenarios'!D8</x:f>
        <x:v>597</x:v>
      </x:c>
      <x:c r="E8" s="105" t="n">
        <x:f>'Scenarios'!E8</x:f>
        <x:v>683</x:v>
      </x:c>
      <x:c r="F8" s="105" t="n">
        <x:f>'Scenarios'!F8</x:f>
        <x:v>771</x:v>
      </x:c>
      <x:c r="G8" s="105" t="n">
        <x:f>'Scenarios'!G8</x:f>
        <x:v>861</x:v>
      </x:c>
      <x:c r="H8" s="105" t="n">
        <x:f>'Scenarios'!H8</x:f>
        <x:v>951</x:v>
      </x:c>
      <x:c r="I8" s="105" t="n">
        <x:f>'Scenarios'!I8</x:f>
        <x:v>1039</x:v>
      </x:c>
      <x:c r="J8" s="105" t="n">
        <x:f>'Scenarios'!J8</x:f>
        <x:v>1123</x:v>
      </x:c>
      <x:c r="K8" s="105" t="n">
        <x:f>'Scenarios'!K8</x:f>
        <x:v>1201</x:v>
      </x:c>
      <x:c r="L8" s="105" t="n">
        <x:f>'Scenarios'!L8</x:f>
        <x:v>1271</x:v>
      </x:c>
      <x:c r="M8" s="4"/>
      <x:c r="N8" s="93" t="n">
        <x:v>2028</x:v>
      </x:c>
      <x:c r="O8" s="96" t="n">
        <x:f>E10</x:f>
        <x:v>2127.9639040221773</x:v>
      </x:c>
      <x:c r="P8" s="96" t="n">
        <x:f>E13</x:f>
        <x:v>142.27485464209207</x:v>
      </x:c>
      <x:c r="Q8" s="96" t="n">
        <x:f>E18</x:f>
        <x:v>28.89655025101463</x:v>
      </x:c>
    </x:row>
    <x:row r="9" ht="23" customHeight="1">
      <x:c r="A9" s="4"/>
      <x:c r="B9" s="6" t="str">
        <x:v>AUV ($mm)</x:v>
      </x:c>
      <x:c r="C9" s="105" t="n">
        <x:f>'Scenarios'!C9</x:f>
        <x:v>3.09537</x:v>
      </x:c>
      <x:c r="D9" s="105" t="n">
        <x:f>'Scenarios'!D9</x:f>
        <x:v>3.2346616499999996</x:v>
      </x:c>
      <x:c r="E9" s="105" t="n">
        <x:f>'Scenarios'!E9</x:f>
        <x:v>3.3640481159999998</x:v>
      </x:c>
      <x:c r="F9" s="105" t="n">
        <x:f>'Scenarios'!F9</x:f>
        <x:v>3.4817898000599996</x:v>
      </x:c>
      <x:c r="G9" s="105" t="n">
        <x:f>'Scenarios'!G9</x:f>
        <x:v>3.5932070736619197</x:v>
      </x:c>
      <x:c r="H9" s="105" t="n">
        <x:f>'Scenarios'!H9</x:f>
        <x:v>3.7010032858717774</x:v>
      </x:c>
      <x:c r="I9" s="105" t="n">
        <x:f>'Scenarios'!I9</x:f>
        <x:v>3.8046313778761873</x:v>
      </x:c>
      <x:c r="J9" s="105" t="n">
        <x:f>'Scenarios'!J9</x:f>
        <x:v>3.9035517937009683</x:v>
      </x:c>
      <x:c r="K9" s="105" t="n">
        <x:f>'Scenarios'!K9</x:f>
        <x:v>4.0011405885434925</x:v>
      </x:c>
      <x:c r="L9" s="105" t="n">
        <x:f>'Scenarios'!L9</x:f>
        <x:v>4.10116910325708</x:v>
      </x:c>
      <x:c r="M9" s="4"/>
      <x:c r="N9" s="93" t="n">
        <x:v>2029</x:v>
      </x:c>
      <x:c r="O9" s="96" t="n">
        <x:f>F10</x:f>
        <x:v>2506.046287543185</x:v>
      </x:c>
      <x:c r="P9" s="96" t="n">
        <x:f>F13</x:f>
        <x:v>190.06761838427548</x:v>
      </x:c>
      <x:c r="Q9" s="96" t="n">
        <x:f>F18</x:f>
        <x:v>68.50961747531682</x:v>
      </x:c>
    </x:row>
    <x:row r="10" ht="23" customHeight="1">
      <x:c r="A10" s="4"/>
      <x:c r="B10" s="6" t="str">
        <x:v>Total revenue</x:v>
      </x:c>
      <x:c r="C10" s="105" t="n">
        <x:f>'Scenarios'!C14</x:f>
        <x:v>1454.0750201612905</x:v>
      </x:c>
      <x:c r="D10" s="105" t="n">
        <x:f>'Scenarios'!D14</x:f>
        <x:v>1774.8249355796368</x:v>
      </x:c>
      <x:c r="E10" s="105" t="n">
        <x:f>'Scenarios'!E14</x:f>
        <x:v>2127.9639040221773</x:v>
      </x:c>
      <x:c r="F10" s="105" t="n">
        <x:f>'Scenarios'!F14</x:f>
        <x:v>2506.046287543185</x:v>
      </x:c>
      <x:c r="G10" s="105" t="n">
        <x:f>'Scenarios'!G14</x:f>
        <x:v>2907.527538335104</x:v>
      </x:c>
      <x:c r="H10" s="105" t="n">
        <x:f>'Scenarios'!H14</x:f>
        <x:v>3329.78370225863</x:v>
      </x:c>
      <x:c r="I10" s="105" t="n">
        <x:f>'Scenarios'!I14</x:f>
        <x:v>3764.744113430711</x:v>
      </x:c>
      <x:c r="J10" s="105" t="n">
        <x:f>'Scenarios'!J14</x:f>
        <x:v>4202.614229508704</x:v>
      </x:c>
      <x:c r="K10" s="105" t="n">
        <x:f>'Scenarios'!K14</x:f>
        <x:v>4637.20900670207</x:v>
      </x:c>
      <x:c r="L10" s="105" t="n">
        <x:f>'Scenarios'!L14</x:f>
        <x:v>5063.207460442486</x:v>
      </x:c>
      <x:c r="M10" s="4"/>
      <x:c r="N10" s="93" t="n">
        <x:v>2030</x:v>
      </x:c>
      <x:c r="O10" s="96" t="n">
        <x:f>G10</x:f>
        <x:v>2907.527538335104</x:v>
      </x:c>
      <x:c r="P10" s="96" t="n">
        <x:f>G13</x:f>
        <x:v>246.61537635765865</x:v>
      </x:c>
      <x:c r="Q10" s="96" t="n">
        <x:f>G18</x:f>
        <x:v>113.76007416623752</x:v>
      </x:c>
    </x:row>
    <x:row r="11" ht="23" customHeight="1">
      <x:c r="A11" s="4"/>
      <x:c r="B11" s="6" t="str">
        <x:v>Revenue growth</x:v>
      </x:c>
      <x:c r="C11" s="128" t="n">
        <x:f>'Scenarios'!C15</x:f>
        <x:v>0.23261794897639532</x:v>
      </x:c>
      <x:c r="D11" s="128" t="n">
        <x:f>'Scenarios'!D15</x:f>
        <x:v>0.2205869098712443</x:v>
      </x:c>
      <x:c r="E11" s="128" t="n">
        <x:f>'Scenarios'!E15</x:f>
        <x:v>0.19897115561271383</x:v>
      </x:c>
      <x:c r="F11" s="128" t="n">
        <x:f>'Scenarios'!F15</x:f>
        <x:v>0.17767330677290816</x:v>
      </x:c>
      <x:c r="G11" s="128" t="n">
        <x:f>'Scenarios'!G15</x:f>
        <x:v>0.16020504201680708</x:v>
      </x:c>
      <x:c r="H11" s="128" t="n">
        <x:f>'Scenarios'!H15</x:f>
        <x:v>0.145228603463311</x:v>
      </x:c>
      <x:c r="I11" s="128" t="n">
        <x:f>'Scenarios'!I15</x:f>
        <x:v>0.13062722689075645</x:v>
      </x:c>
      <x:c r="J11" s="128" t="n">
        <x:f>'Scenarios'!J15</x:f>
        <x:v>0.1163080684596578</x:v>
      </x:c>
      <x:c r="K11" s="128" t="n">
        <x:f>'Scenarios'!K15</x:f>
        <x:v>0.1034105805243446</x:v>
      </x:c>
      <x:c r="L11" s="128" t="n">
        <x:f>'Scenarios'!L15</x:f>
        <x:v>0.09186526920066118</x:v>
      </x:c>
      <x:c r="M11" s="4"/>
      <x:c r="N11" s="93" t="n">
        <x:v>2031</x:v>
      </x:c>
      <x:c r="O11" s="96" t="n">
        <x:f>H10</x:f>
        <x:v>3329.78370225863</x:v>
      </x:c>
      <x:c r="P11" s="96" t="n">
        <x:f>H13</x:f>
        <x:v>312.3457598397518</x:v>
      </x:c>
      <x:c r="Q11" s="96" t="n">
        <x:f>H18</x:f>
        <x:v>168.87082957279424</x:v>
      </x:c>
    </x:row>
    <x:row r="12" ht="23" customHeight="1">
      <x:c r="A12" s="4"/>
      <x:c r="B12" s="6" t="str">
        <x:v>Restaurant-level margin</x:v>
      </x:c>
      <x:c r="C12" s="128" t="n">
        <x:f>'Scenarios'!C16/'Scenarios'!C12</x:f>
        <x:v>0.24</x:v>
      </x:c>
      <x:c r="D12" s="128" t="n">
        <x:f>'Scenarios'!D16/'Scenarios'!D12</x:f>
        <x:v>0.242</x:v>
      </x:c>
      <x:c r="E12" s="128" t="n">
        <x:f>'Scenarios'!E16/'Scenarios'!E12</x:f>
        <x:v>0.24499999999999997</x:v>
      </x:c>
      <x:c r="F12" s="128" t="n">
        <x:f>'Scenarios'!F16/'Scenarios'!F12</x:f>
        <x:v>0.247</x:v>
      </x:c>
      <x:c r="G12" s="128" t="n">
        <x:f>'Scenarios'!G16/'Scenarios'!G12</x:f>
        <x:v>0.25</x:v>
      </x:c>
      <x:c r="H12" s="128" t="n">
        <x:f>'Scenarios'!H16/'Scenarios'!H12</x:f>
        <x:v>0.252</x:v>
      </x:c>
      <x:c r="I12" s="128" t="n">
        <x:f>'Scenarios'!I16/'Scenarios'!I12</x:f>
        <x:v>0.254</x:v>
      </x:c>
      <x:c r="J12" s="128" t="n">
        <x:f>'Scenarios'!J16/'Scenarios'!J12</x:f>
        <x:v>0.255</x:v>
      </x:c>
      <x:c r="K12" s="128" t="n">
        <x:f>'Scenarios'!K16/'Scenarios'!K12</x:f>
        <x:v>0.256</x:v>
      </x:c>
      <x:c r="L12" s="128" t="n">
        <x:f>'Scenarios'!L16/'Scenarios'!L12</x:f>
        <x:v>0.257</x:v>
      </x:c>
      <x:c r="M12" s="4"/>
      <x:c r="N12" s="93" t="n">
        <x:v>2032</x:v>
      </x:c>
      <x:c r="O12" s="96" t="n">
        <x:f>I10</x:f>
        <x:v>3764.744113430711</x:v>
      </x:c>
      <x:c r="P12" s="96" t="n">
        <x:f>I13</x:f>
        <x:v>388.8514534504817</x:v>
      </x:c>
      <x:c r="Q12" s="96" t="n">
        <x:f>I18</x:f>
        <x:v>233.49880769721892</x:v>
      </x:c>
    </x:row>
    <x:row r="13" ht="23" customHeight="1">
      <x:c r="A13" s="4"/>
      <x:c r="B13" s="6" t="str">
        <x:v>EBIT</x:v>
      </x:c>
      <x:c r="C13" s="105" t="n">
        <x:f>'Scenarios'!C21</x:f>
        <x:v>63.8333385443521</x:v>
      </x:c>
      <x:c r="D13" s="105" t="n">
        <x:f>'Scenarios'!D21</x:f>
        <x:v>99.18363946860217</x:v>
      </x:c>
      <x:c r="E13" s="105" t="n">
        <x:f>'Scenarios'!E21</x:f>
        <x:v>142.27485464209207</x:v>
      </x:c>
      <x:c r="F13" s="105" t="n">
        <x:f>'Scenarios'!F21</x:f>
        <x:v>190.06761838427548</x:v>
      </x:c>
      <x:c r="G13" s="105" t="n">
        <x:f>'Scenarios'!G21</x:f>
        <x:v>246.61537635765865</x:v>
      </x:c>
      <x:c r="H13" s="105" t="n">
        <x:f>'Scenarios'!H21</x:f>
        <x:v>312.3457598397518</x:v>
      </x:c>
      <x:c r="I13" s="105" t="n">
        <x:f>'Scenarios'!I21</x:f>
        <x:v>388.8514534504817</x:v>
      </x:c>
      <x:c r="J13" s="105" t="n">
        <x:f>'Scenarios'!J21</x:f>
        <x:v>467.6653078412711</x:v>
      </x:c>
      <x:c r="K13" s="105" t="n">
        <x:f>'Scenarios'!K21</x:f>
        <x:v>555.4060277011474</x:v>
      </x:c>
      <x:c r="L13" s="105" t="n">
        <x:f>'Scenarios'!L21</x:f>
        <x:v>641.830498514997</x:v>
      </x:c>
      <x:c r="M13" s="4"/>
      <x:c r="N13" s="93" t="n">
        <x:v>2033</x:v>
      </x:c>
      <x:c r="O13" s="96" t="n">
        <x:f>J10</x:f>
        <x:v>4202.614229508704</x:v>
      </x:c>
      <x:c r="P13" s="96" t="n">
        <x:f>J13</x:f>
        <x:v>467.6653078412711</x:v>
      </x:c>
      <x:c r="Q13" s="96" t="n">
        <x:f>J18</x:f>
        <x:v>303.8888855157404</x:v>
      </x:c>
    </x:row>
    <x:row r="14" ht="23" customHeight="1">
      <x:c r="A14" s="4"/>
      <x:c r="B14" s="6" t="str">
        <x:v>Operating margin</x:v>
      </x:c>
      <x:c r="C14" s="128" t="n">
        <x:f>'Scenarios'!C22</x:f>
        <x:v>0.04389961842358829</x:v>
      </x:c>
      <x:c r="D14" s="128" t="n">
        <x:f>'Scenarios'!D22</x:f>
        <x:v>0.055883618423588334</x:v>
      </x:c>
      <x:c r="E14" s="128" t="n">
        <x:f>'Scenarios'!E22</x:f>
        <x:v>0.06685961842358831</x:v>
      </x:c>
      <x:c r="F14" s="128" t="n">
        <x:f>'Scenarios'!F22</x:f>
        <x:v>0.07584361842358835</x:v>
      </x:c>
      <x:c r="G14" s="128" t="n">
        <x:f>'Scenarios'!G22</x:f>
        <x:v>0.08481961842358834</x:v>
      </x:c>
      <x:c r="H14" s="128" t="n">
        <x:f>'Scenarios'!H22</x:f>
        <x:v>0.09380361842358834</x:v>
      </x:c>
      <x:c r="I14" s="128" t="n">
        <x:f>'Scenarios'!I22</x:f>
        <x:v>0.10328761842358836</x:v>
      </x:c>
      <x:c r="J14" s="128" t="n">
        <x:f>'Scenarios'!J22</x:f>
        <x:v>0.1112796184235883</x:v>
      </x:c>
      <x:c r="K14" s="128" t="n">
        <x:f>'Scenarios'!K22</x:f>
        <x:v>0.11977161842358834</x:v>
      </x:c>
      <x:c r="L14" s="128" t="n">
        <x:f>'Scenarios'!L22</x:f>
        <x:v>0.12676361842358833</x:v>
      </x:c>
      <x:c r="M14" s="4"/>
      <x:c r="N14" s="93" t="n">
        <x:v>2034</x:v>
      </x:c>
      <x:c r="O14" s="96" t="n">
        <x:f>K10</x:f>
        <x:v>4637.20900670207</x:v>
      </x:c>
      <x:c r="P14" s="96" t="n">
        <x:f>K13</x:f>
        <x:v>555.4060277011474</x:v>
      </x:c>
      <x:c r="Q14" s="96" t="n">
        <x:f>K18</x:f>
        <x:v>382.23314859381674</x:v>
      </x:c>
    </x:row>
    <x:row r="15" ht="23" customHeight="1">
      <x:c r="A15" s="4"/>
      <x:c r="B15" s="6" t="str">
        <x:v>D&amp;A</x:v>
      </x:c>
      <x:c r="C15" s="105" t="n">
        <x:f>'Scenarios'!C18</x:f>
        <x:v>91.6067262701613</x:v>
      </x:c>
      <x:c r="D15" s="105" t="n">
        <x:f>'Scenarios'!D18</x:f>
        <x:v>106.48949613477821</x:v>
      </x:c>
      <x:c r="E15" s="105" t="n">
        <x:f>'Scenarios'!E18</x:f>
        <x:v>123.4219064332863</x:v>
      </x:c>
      <x:c r="F15" s="105" t="n">
        <x:f>'Scenarios'!F18</x:f>
        <x:v>140.33859210241835</x:v>
      </x:c>
      <x:c r="G15" s="105" t="n">
        <x:f>'Scenarios'!G18</x:f>
        <x:v>157.00648707009563</x:v>
      </x:c>
      <x:c r="H15" s="105" t="n">
        <x:f>'Scenarios'!H18</x:f>
        <x:v>173.14875251744874</x:v>
      </x:c>
      <x:c r="I15" s="105" t="n">
        <x:f>'Scenarios'!I18</x:f>
        <x:v>188.23720567153555</x:v>
      </x:c>
      <x:c r="J15" s="105" t="n">
        <x:f>'Scenarios'!J18</x:f>
        <x:v>201.7254830164178</x:v>
      </x:c>
      <x:c r="K15" s="105" t="n">
        <x:f>'Scenarios'!K18</x:f>
        <x:v>213.31161430829522</x:v>
      </x:c>
      <x:c r="L15" s="105" t="n">
        <x:f>'Scenarios'!L18</x:f>
        <x:v>227.84433571991187</x:v>
      </x:c>
      <x:c r="M15" s="4"/>
      <x:c r="N15" s="93" t="n">
        <x:v>2035</x:v>
      </x:c>
      <x:c r="O15" s="96" t="n">
        <x:f>L10</x:f>
        <x:v>5063.207460442486</x:v>
      </x:c>
      <x:c r="P15" s="96" t="n">
        <x:f>L13</x:f>
        <x:v>641.830498514997</x:v>
      </x:c>
      <x:c r="Q15" s="96" t="n">
        <x:f>L18</x:f>
        <x:v>469.5198778604372</x:v>
      </x:c>
    </x:row>
    <x:row r="16" ht="23" customHeight="1">
      <x:c r="A16" s="4"/>
      <x:c r="B16" s="6" t="str">
        <x:v>Total capex</x:v>
      </x:c>
      <x:c r="C16" s="105" t="n">
        <x:f>'Scenarios'!C28</x:f>
        <x:v>173.61112530241937</x:v>
      </x:c>
      <x:c r="D16" s="105" t="n">
        <x:f>'Scenarios'!D28</x:f>
        <x:v>193.65037403369456</x:v>
      </x:c>
      <x:c r="E16" s="105" t="n">
        <x:f>'Scenarios'!E28</x:f>
        <x:v>211.14677856033268</x:v>
      </x:c>
      <x:c r="F16" s="105" t="n">
        <x:f>'Scenarios'!F28</x:f>
        <x:v>225.6786511131478</x:v>
      </x:c>
      <x:c r="G16" s="105" t="n">
        <x:f>'Scenarios'!G28</x:f>
        <x:v>240.9453402950266</x:v>
      </x:c>
      <x:c r="H16" s="105" t="n">
        <x:f>'Scenarios'!H28</x:f>
        <x:v>252.74915557047947</x:v>
      </x:c>
      <x:c r="I16" s="105" t="n">
        <x:f>'Scenarios'!I28</x:f>
        <x:v>260.6090454716543</x:v>
      </x:c>
      <x:c r="J16" s="105" t="n">
        <x:f>'Scenarios'!J28</x:f>
        <x:v>263.99614189487096</x:v>
      </x:c>
      <x:c r="K16" s="105" t="n">
        <x:f>'Scenarios'!K28</x:f>
        <x:v>262.4126545273524</x:v>
      </x:c>
      <x:c r="L16" s="105" t="n">
        <x:f>'Scenarios'!L28</x:f>
        <x:v>255.34953306912217</x:v>
      </x:c>
      <x:c r="M16" s="4"/>
      <x:c r="N16" s="4"/>
      <x:c r="O16" s="4"/>
      <x:c r="P16" s="4"/>
      <x:c r="Q16" s="4"/>
    </x:row>
    <x:row r="17" ht="23" customHeight="1">
      <x:c r="A17" s="4"/>
      <x:c r="B17" s="6" t="str">
        <x:v>Change in NWC</x:v>
      </x:c>
      <x:c r="C17" s="105" t="n">
        <x:f>'Scenarios'!C30</x:f>
        <x:v>-2.744110201612905</x:v>
      </x:c>
      <x:c r="D17" s="105" t="n">
        <x:f>'Scenarios'!D30</x:f>
        <x:v>-3.2074991541834628</x:v>
      </x:c>
      <x:c r="E17" s="105" t="n">
        <x:f>'Scenarios'!E30</x:f>
        <x:v>-3.531389684425406</x:v>
      </x:c>
      <x:c r="F17" s="105" t="n">
        <x:f>'Scenarios'!F30</x:f>
        <x:v>-3.780823835210075</x:v>
      </x:c>
      <x:c r="G17" s="105" t="n">
        <x:f>'Scenarios'!G30</x:f>
        <x:v>-4.014812507919192</x:v>
      </x:c>
      <x:c r="H17" s="105" t="n">
        <x:f>'Scenarios'!H30</x:f>
        <x:v>-4.222561639235259</x:v>
      </x:c>
      <x:c r="I17" s="105" t="n">
        <x:f>'Scenarios'!I30</x:f>
        <x:v>-4.349604111720808</x:v>
      </x:c>
      <x:c r="J17" s="105" t="n">
        <x:f>'Scenarios'!J30</x:f>
        <x:v>-4.378701160779933</x:v>
      </x:c>
      <x:c r="K17" s="105" t="n">
        <x:f>'Scenarios'!K30</x:f>
        <x:v>-4.345947771933659</x:v>
      </x:c>
      <x:c r="L17" s="105" t="n">
        <x:f>'Scenarios'!L30</x:f>
        <x:v>-4.259984537404165</x:v>
      </x:c>
      <x:c r="M17" s="4"/>
      <x:c r="N17" s="4"/>
      <x:c r="O17" s="4"/>
      <x:c r="P17" s="4"/>
      <x:c r="Q17" s="4"/>
    </x:row>
    <x:row r="18" ht="23" customHeight="1">
      <x:c r="A18" s="4"/>
      <x:c r="B18" s="6" t="str">
        <x:v>FCFF</x:v>
      </x:c>
      <x:c r="C18" s="105" t="n">
        <x:f>'Scenarios'!C31</x:f>
        <x:v>-27.023059861897217</x:v>
      </x:c>
      <x:c r="D18" s="105" t="n">
        <x:f>'Scenarios'!D31</x:f>
        <x:v>-4.241174336542375</x:v>
      </x:c>
      <x:c r="E18" s="105" t="n">
        <x:f>'Scenarios'!E31</x:f>
        <x:v>28.89655025101463</x:v>
      </x:c>
      <x:c r="F18" s="105" t="n">
        <x:f>'Scenarios'!F31</x:f>
        <x:v>68.50961747531682</x:v>
      </x:c>
      <x:c r="G18" s="105" t="n">
        <x:f>'Scenarios'!G31</x:f>
        <x:v>113.76007416623752</x:v>
      </x:c>
      <x:c r="H18" s="105" t="n">
        <x:f>'Scenarios'!H31</x:f>
        <x:v>168.87082957279424</x:v>
      </x:c>
      <x:c r="I18" s="105" t="n">
        <x:f>'Scenarios'!I31</x:f>
        <x:v>233.49880769721892</x:v>
      </x:c>
      <x:c r="J18" s="105" t="n">
        <x:f>'Scenarios'!J31</x:f>
        <x:v>303.8888855157404</x:v>
      </x:c>
      <x:c r="K18" s="105" t="n">
        <x:f>'Scenarios'!K31</x:f>
        <x:v>382.23314859381674</x:v>
      </x:c>
      <x:c r="L18" s="105" t="n">
        <x:f>'Scenarios'!L31</x:f>
        <x:v>469.5198778604372</x:v>
      </x:c>
      <x:c r="M18" s="4"/>
      <x:c r="N18" s="4"/>
      <x:c r="O18" s="4"/>
      <x:c r="P18" s="4"/>
      <x:c r="Q18" s="4"/>
    </x:row>
    <x:row r="19" ht="23" customHeight="1">
      <x:c r="A19" s="4"/>
      <x:c r="B19" s="6" t="str">
        <x:v>PV of FCFF</x:v>
      </x:c>
      <x:c r="C19" s="105" t="n">
        <x:f>'Scenarios'!C33</x:f>
        <x:v>-10.296628460673208</x:v>
      </x:c>
      <x:c r="D19" s="105" t="n">
        <x:f>'Scenarios'!D33</x:f>
        <x:v>-3.7151920352201344</x:v>
      </x:c>
      <x:c r="E19" s="105" t="n">
        <x:f>'Scenarios'!E33</x:f>
        <x:v>22.979706779785797</x:v>
      </x:c>
      <x:c r="F19" s="105" t="n">
        <x:f>'Scenarios'!F33</x:f>
        <x:v>49.55023957675002</x:v>
      </x:c>
      <x:c r="G19" s="105" t="n">
        <x:f>'Scenarios'!G33</x:f>
        <x:v>74.83070112285105</x:v>
      </x:c>
      <x:c r="H19" s="105" t="n">
        <x:f>'Scenarios'!H33</x:f>
        <x:v>101.02766522856406</x:v>
      </x:c>
      <x:c r="I19" s="105" t="n">
        <x:f>'Scenarios'!I33</x:f>
        <x:v>127.04748688062212</x:v>
      </x:c>
      <x:c r="J19" s="105" t="n">
        <x:f>'Scenarios'!J33</x:f>
        <x:v>150.38065067950254</x:v>
      </x:c>
      <x:c r="K19" s="105" t="n">
        <x:f>'Scenarios'!K33</x:f>
        <x:v>171.71523681545196</x:v>
      </x:c>
      <x:c r="L19" s="105" t="n">
        <x:f>'Scenarios'!L33</x:f>
        <x:v>191.83603987567528</x:v>
      </x:c>
      <x:c r="M19" s="4"/>
      <x:c r="N19" s="4"/>
      <x:c r="O19" s="4"/>
      <x:c r="P19" s="4"/>
      <x:c r="Q19" s="4"/>
    </x:row>
    <x:row r="20" ht="23" customHeight="1">
      <x:c r="A20" s="4"/>
      <x:c r="B20" s="6" t="str">
        <x:v>Forecast stage</x:v>
      </x:c>
      <x:c r="C20" s="6" t="str">
        <x:v>First five</x:v>
      </x:c>
      <x:c r="D20" s="6" t="str">
        <x:v>First five</x:v>
      </x:c>
      <x:c r="E20" s="6" t="str">
        <x:v>First five</x:v>
      </x:c>
      <x:c r="F20" s="6" t="str">
        <x:v>First five</x:v>
      </x:c>
      <x:c r="G20" s="6" t="str">
        <x:v>First five</x:v>
      </x:c>
      <x:c r="H20" s="6" t="str">
        <x:v>Later</x:v>
      </x:c>
      <x:c r="I20" s="6" t="str">
        <x:v>Later</x:v>
      </x:c>
      <x:c r="J20" s="6" t="str">
        <x:v>Later</x:v>
      </x:c>
      <x:c r="K20" s="6" t="str">
        <x:v>Later</x:v>
      </x:c>
      <x:c r="L20" s="6" t="str">
        <x:v>Later</x:v>
      </x:c>
      <x:c r="M20" s="4"/>
      <x:c r="N20" s="4"/>
      <x:c r="O20" s="4"/>
      <x:c r="P20" s="4"/>
      <x:c r="Q20" s="4"/>
    </x:row>
    <x:row r="21" ht="23" customHeight="1">
      <x:c r="A21" s="4"/>
      <x:c r="B21" s="4"/>
      <x:c r="C21" s="4"/>
      <x:c r="D21" s="4"/>
      <x:c r="E21" s="4"/>
      <x:c r="F21" s="4"/>
      <x:c r="G21" s="4"/>
      <x:c r="H21" s="4"/>
      <x:c r="I21" s="4"/>
      <x:c r="J21" s="4"/>
      <x:c r="K21" s="4"/>
      <x:c r="L21" s="4"/>
      <x:c r="M21" s="4"/>
      <x:c r="N21" s="4"/>
      <x:c r="O21" s="4"/>
      <x:c r="P21" s="4"/>
      <x:c r="Q21" s="4"/>
    </x:row>
    <x:row r="22" ht="23" customHeight="1">
      <x:c r="A22" s="4"/>
      <x:c r="B22" s="4"/>
      <x:c r="C22" s="4"/>
      <x:c r="D22" s="4"/>
      <x:c r="E22" s="4"/>
      <x:c r="F22" s="4"/>
      <x:c r="G22" s="4"/>
      <x:c r="H22" s="4"/>
      <x:c r="I22" s="4"/>
      <x:c r="J22" s="4"/>
      <x:c r="K22" s="4"/>
      <x:c r="L22" s="4"/>
      <x:c r="M22" s="4"/>
      <x:c r="N22" s="4"/>
      <x:c r="O22" s="4"/>
      <x:c r="P22" s="4"/>
      <x:c r="Q22" s="4"/>
    </x:row>
    <x:row r="23" ht="24" customHeight="1">
      <x:c r="A23" s="4"/>
      <x:c r="B23" s="44" t="str">
        <x:v>Opening cohorts contribute 45% of mature annual sales in their first year and 90% in the next. Construction costs rise with</x:v>
      </x:c>
      <x:c r="C23" s="26"/>
      <x:c r="D23" s="26"/>
      <x:c r="E23" s="26"/>
      <x:c r="F23" s="26"/>
      <x:c r="G23" s="26"/>
      <x:c r="H23" s="26"/>
      <x:c r="I23" s="26"/>
      <x:c r="J23" s="26"/>
      <x:c r="K23" s="26"/>
      <x:c r="L23" s="26"/>
      <x:c r="M23" s="26"/>
      <x:c r="N23" s="26"/>
      <x:c r="O23" s="26"/>
      <x:c r="P23" s="26"/>
      <x:c r="Q23" s="26"/>
    </x:row>
    <x:row r="24" ht="24" customHeight="1">
      <x:c r="A24" s="4"/>
      <x:c r="B24" s="45" t="str">
        <x:v>the selected inflation rate. Noncash write-downs are added back to FCFF. Terminal cash flow deducts investment needed for</x:v>
      </x:c>
      <x:c r="C24" s="4"/>
      <x:c r="D24" s="4"/>
      <x:c r="E24" s="4"/>
      <x:c r="F24" s="4"/>
      <x:c r="G24" s="4"/>
      <x:c r="H24" s="4"/>
      <x:c r="I24" s="4"/>
      <x:c r="J24" s="4"/>
      <x:c r="K24" s="4"/>
      <x:c r="L24" s="4"/>
      <x:c r="M24" s="4"/>
      <x:c r="N24" s="4"/>
      <x:c r="O24" s="4"/>
      <x:c r="P24" s="4"/>
      <x:c r="Q24" s="4"/>
    </x:row>
    <x:row r="25" ht="24" customHeight="1">
      <x:c r="A25" s="4"/>
      <x:c r="B25" s="45" t="str">
        <x:v>continued growth.</x:v>
      </x:c>
      <x:c r="C25" s="4"/>
      <x:c r="D25" s="4"/>
      <x:c r="E25" s="4"/>
      <x:c r="F25" s="4"/>
      <x:c r="G25" s="4"/>
      <x:c r="H25" s="4"/>
      <x:c r="I25" s="4"/>
      <x:c r="J25" s="4"/>
      <x:c r="K25" s="4"/>
      <x:c r="L25" s="4"/>
      <x:c r="M25" s="4"/>
      <x:c r="N25" s="4"/>
      <x:c r="O25" s="4"/>
      <x:c r="P25" s="4"/>
      <x:c r="Q25" s="4"/>
    </x:row>
    <x:row r="26" ht="23" customHeight="1">
      <x:c r="A26" s="4"/>
      <x:c r="B26" s="4"/>
      <x:c r="C26" s="4"/>
      <x:c r="D26" s="4"/>
      <x:c r="E26" s="4"/>
      <x:c r="F26" s="4"/>
      <x:c r="G26" s="4"/>
      <x:c r="H26" s="4"/>
      <x:c r="I26" s="4"/>
      <x:c r="J26" s="4"/>
      <x:c r="K26" s="4"/>
      <x:c r="L26" s="4"/>
      <x:c r="M26" s="4"/>
      <x:c r="N26" s="4"/>
      <x:c r="O26" s="4"/>
      <x:c r="P26" s="4"/>
      <x:c r="Q26" s="4"/>
    </x:row>
    <x:row r="27" ht="23" customHeight="1">
      <x:c r="A27" s="4"/>
      <x:c r="B27" s="4"/>
      <x:c r="C27" s="4"/>
      <x:c r="D27" s="4"/>
      <x:c r="E27" s="4"/>
      <x:c r="F27" s="4"/>
      <x:c r="G27" s="4"/>
      <x:c r="H27" s="4"/>
      <x:c r="I27" s="4"/>
      <x:c r="J27" s="4"/>
      <x:c r="K27" s="4"/>
      <x:c r="L27" s="4"/>
      <x:c r="M27" s="4"/>
      <x:c r="N27" s="4"/>
      <x:c r="O27" s="4"/>
      <x:c r="P27" s="4"/>
      <x:c r="Q27" s="4"/>
    </x:row>
    <x:row r="28" ht="23" customHeight="1">
      <x:c r="A28" s="4"/>
      <x:c r="B28" s="4"/>
      <x:c r="C28" s="4"/>
      <x:c r="D28" s="4"/>
      <x:c r="E28" s="4"/>
      <x:c r="F28" s="4"/>
      <x:c r="G28" s="4"/>
      <x:c r="H28" s="4"/>
      <x:c r="I28" s="4"/>
      <x:c r="J28" s="4"/>
      <x:c r="K28" s="4"/>
      <x:c r="L28" s="4"/>
      <x:c r="M28" s="4"/>
      <x:c r="N28" s="4"/>
      <x:c r="O28" s="4"/>
      <x:c r="P28" s="4"/>
      <x:c r="Q28" s="4"/>
    </x:row>
    <x:row r="29" ht="23" customHeight="1">
      <x:c r="A29" s="4"/>
      <x:c r="B29" s="4"/>
      <x:c r="C29" s="4"/>
      <x:c r="D29" s="4"/>
      <x:c r="E29" s="4"/>
      <x:c r="F29" s="4"/>
      <x:c r="G29" s="4"/>
      <x:c r="H29" s="4"/>
      <x:c r="I29" s="4"/>
      <x:c r="J29" s="4"/>
      <x:c r="K29" s="4"/>
      <x:c r="L29" s="4"/>
      <x:c r="M29" s="4"/>
      <x:c r="N29" s="4"/>
      <x:c r="O29" s="4"/>
      <x:c r="P29" s="4"/>
      <x:c r="Q29" s="4"/>
    </x:row>
    <x:row r="30" ht="23" customHeight="1">
      <x:c r="A30" s="4"/>
      <x:c r="B30" s="4"/>
      <x:c r="C30" s="4"/>
      <x:c r="D30" s="4"/>
      <x:c r="E30" s="4"/>
      <x:c r="F30" s="4"/>
      <x:c r="G30" s="4"/>
      <x:c r="H30" s="4"/>
      <x:c r="I30" s="4"/>
      <x:c r="J30" s="4"/>
      <x:c r="K30" s="4"/>
      <x:c r="L30" s="4"/>
      <x:c r="M30" s="4"/>
      <x:c r="N30" s="4"/>
      <x:c r="O30" s="4"/>
      <x:c r="P30" s="4"/>
      <x:c r="Q30" s="4"/>
    </x:row>
    <x:row r="31" ht="23" customHeight="1">
      <x:c r="A31" s="4"/>
      <x:c r="B31" s="4"/>
      <x:c r="C31" s="4"/>
      <x:c r="D31" s="4"/>
      <x:c r="E31" s="4"/>
      <x:c r="F31" s="4"/>
      <x:c r="G31" s="4"/>
      <x:c r="H31" s="4"/>
      <x:c r="I31" s="4"/>
      <x:c r="J31" s="4"/>
      <x:c r="K31" s="4"/>
      <x:c r="L31" s="4"/>
      <x:c r="M31" s="4"/>
      <x:c r="N31" s="4"/>
      <x:c r="O31" s="4"/>
      <x:c r="P31" s="4"/>
      <x:c r="Q31" s="4"/>
    </x:row>
    <x:row r="32" ht="23" customHeight="1">
      <x:c r="A32" s="4"/>
      <x:c r="B32" s="4"/>
      <x:c r="C32" s="4"/>
      <x:c r="D32" s="4"/>
      <x:c r="E32" s="4"/>
      <x:c r="F32" s="4"/>
      <x:c r="G32" s="4"/>
      <x:c r="H32" s="4"/>
      <x:c r="I32" s="4"/>
      <x:c r="J32" s="4"/>
      <x:c r="K32" s="4"/>
      <x:c r="L32" s="4"/>
      <x:c r="M32" s="4"/>
      <x:c r="N32" s="4"/>
      <x:c r="O32" s="4"/>
      <x:c r="P32" s="4"/>
      <x:c r="Q32" s="4"/>
    </x:row>
    <x:row r="33" ht="23" customHeight="1">
      <x:c r="A33" s="4"/>
      <x:c r="B33" s="4"/>
      <x:c r="C33" s="4"/>
      <x:c r="D33" s="4"/>
      <x:c r="E33" s="4"/>
      <x:c r="F33" s="4"/>
      <x:c r="G33" s="4"/>
      <x:c r="H33" s="4"/>
      <x:c r="I33" s="4"/>
      <x:c r="J33" s="4"/>
      <x:c r="K33" s="4"/>
      <x:c r="L33" s="4"/>
      <x:c r="M33" s="4"/>
      <x:c r="N33" s="4"/>
      <x:c r="O33" s="4"/>
      <x:c r="P33" s="4"/>
      <x:c r="Q33" s="4"/>
    </x:row>
    <x:row r="34" ht="23" customHeight="1">
      <x:c r="A34" s="4"/>
      <x:c r="B34" s="4"/>
      <x:c r="C34" s="4"/>
      <x:c r="D34" s="4"/>
      <x:c r="E34" s="4"/>
      <x:c r="F34" s="4"/>
      <x:c r="G34" s="4"/>
      <x:c r="H34" s="4"/>
      <x:c r="I34" s="4"/>
      <x:c r="J34" s="4"/>
      <x:c r="K34" s="4"/>
      <x:c r="L34" s="4"/>
      <x:c r="M34" s="4"/>
      <x:c r="N34" s="4"/>
      <x:c r="O34" s="4"/>
      <x:c r="P34" s="4"/>
      <x:c r="Q34" s="4"/>
    </x:row>
    <x:row r="35" ht="23" customHeight="1">
      <x:c r="A35" s="4"/>
      <x:c r="B35" s="4"/>
      <x:c r="C35" s="4"/>
      <x:c r="D35" s="4"/>
      <x:c r="E35" s="4"/>
      <x:c r="F35" s="4"/>
      <x:c r="G35" s="4"/>
      <x:c r="H35" s="4"/>
      <x:c r="I35" s="4"/>
      <x:c r="J35" s="4"/>
      <x:c r="K35" s="4"/>
      <x:c r="L35" s="4"/>
      <x:c r="M35" s="4"/>
      <x:c r="N35" s="4"/>
      <x:c r="O35" s="4"/>
      <x:c r="P35" s="4"/>
      <x:c r="Q35" s="4"/>
    </x:row>
    <x:row r="36" ht="23" customHeight="1">
      <x:c r="A36" s="4"/>
      <x:c r="B36" s="4" t="str">
        <x:v>Fiscal year</x:v>
      </x:c>
      <x:c r="C36" s="4" t="str">
        <x:v>Revenue</x:v>
      </x:c>
      <x:c r="D36" s="4"/>
      <x:c r="E36" s="4"/>
      <x:c r="F36" s="4"/>
      <x:c r="G36" s="4"/>
      <x:c r="H36" s="4"/>
      <x:c r="I36" s="4"/>
      <x:c r="J36" s="4"/>
      <x:c r="K36" s="4"/>
      <x:c r="L36" s="4"/>
      <x:c r="M36" s="4"/>
      <x:c r="N36" s="4"/>
      <x:c r="O36" s="4"/>
      <x:c r="P36" s="4"/>
      <x:c r="Q36" s="4"/>
    </x:row>
    <x:row r="37" ht="23" customHeight="1">
      <x:c r="A37" s="4"/>
      <x:c r="B37" s="226" t="str">
        <x:v>2026</x:v>
      </x:c>
      <x:c r="C37" s="4" t="n">
        <x:f>C10</x:f>
        <x:v>1454.0750201612905</x:v>
      </x:c>
      <x:c r="D37" s="4"/>
      <x:c r="E37" s="4"/>
      <x:c r="F37" s="4"/>
      <x:c r="G37" s="4"/>
      <x:c r="H37" s="4"/>
      <x:c r="I37" s="4"/>
      <x:c r="J37" s="4"/>
      <x:c r="K37" s="4"/>
      <x:c r="L37" s="4"/>
      <x:c r="M37" s="4"/>
      <x:c r="N37" s="4"/>
      <x:c r="O37" s="4"/>
      <x:c r="P37" s="4"/>
      <x:c r="Q37" s="4"/>
    </x:row>
    <x:row r="38" ht="23" customHeight="1">
      <x:c r="A38" s="4"/>
      <x:c r="B38" s="226" t="str">
        <x:v>2027</x:v>
      </x:c>
      <x:c r="C38" s="4" t="n">
        <x:f>D10</x:f>
        <x:v>1774.8249355796368</x:v>
      </x:c>
      <x:c r="D38" s="4"/>
      <x:c r="E38" s="4"/>
      <x:c r="F38" s="4"/>
      <x:c r="G38" s="4"/>
      <x:c r="H38" s="4"/>
      <x:c r="I38" s="4"/>
      <x:c r="J38" s="4"/>
      <x:c r="K38" s="4"/>
      <x:c r="L38" s="4"/>
      <x:c r="M38" s="4"/>
      <x:c r="N38" s="4"/>
      <x:c r="O38" s="4"/>
      <x:c r="P38" s="4"/>
      <x:c r="Q38" s="4"/>
    </x:row>
    <x:row r="39" ht="23" customHeight="1">
      <x:c r="A39" s="4"/>
      <x:c r="B39" s="226" t="str">
        <x:v>2028</x:v>
      </x:c>
      <x:c r="C39" s="4" t="n">
        <x:f>E10</x:f>
        <x:v>2127.9639040221773</x:v>
      </x:c>
      <x:c r="D39" s="4"/>
      <x:c r="E39" s="4"/>
      <x:c r="F39" s="4"/>
      <x:c r="G39" s="4"/>
      <x:c r="H39" s="4"/>
      <x:c r="I39" s="4"/>
      <x:c r="J39" s="4"/>
      <x:c r="K39" s="4"/>
      <x:c r="L39" s="4"/>
      <x:c r="M39" s="4"/>
      <x:c r="N39" s="4"/>
      <x:c r="O39" s="4"/>
      <x:c r="P39" s="4"/>
      <x:c r="Q39" s="4"/>
    </x:row>
    <x:row r="40" ht="23" customHeight="1">
      <x:c r="A40" s="4"/>
      <x:c r="B40" s="226" t="str">
        <x:v>2029</x:v>
      </x:c>
      <x:c r="C40" s="4" t="n">
        <x:f>F10</x:f>
        <x:v>2506.046287543185</x:v>
      </x:c>
      <x:c r="D40" s="4"/>
      <x:c r="E40" s="4"/>
      <x:c r="F40" s="4"/>
      <x:c r="G40" s="4"/>
      <x:c r="H40" s="4"/>
      <x:c r="I40" s="4"/>
      <x:c r="J40" s="4"/>
      <x:c r="K40" s="4"/>
      <x:c r="L40" s="4"/>
      <x:c r="M40" s="4"/>
      <x:c r="N40" s="4"/>
      <x:c r="O40" s="4"/>
      <x:c r="P40" s="4"/>
      <x:c r="Q40" s="4"/>
    </x:row>
    <x:row r="41" ht="23" customHeight="1">
      <x:c r="A41" s="4"/>
      <x:c r="B41" s="226" t="str">
        <x:v>2030</x:v>
      </x:c>
      <x:c r="C41" s="4" t="n">
        <x:f>G10</x:f>
        <x:v>2907.527538335104</x:v>
      </x:c>
      <x:c r="D41" s="4"/>
      <x:c r="E41" s="4"/>
      <x:c r="F41" s="4"/>
      <x:c r="G41" s="4"/>
      <x:c r="H41" s="4"/>
      <x:c r="I41" s="4"/>
      <x:c r="J41" s="4"/>
      <x:c r="K41" s="4"/>
      <x:c r="L41" s="4"/>
      <x:c r="M41" s="4"/>
      <x:c r="N41" s="4"/>
      <x:c r="O41" s="4"/>
      <x:c r="P41" s="4"/>
      <x:c r="Q41" s="4"/>
    </x:row>
    <x:row r="42" ht="23" customHeight="1">
      <x:c r="A42" s="4"/>
      <x:c r="B42" s="226" t="str">
        <x:v>2031</x:v>
      </x:c>
      <x:c r="C42" s="4" t="n">
        <x:f>H10</x:f>
        <x:v>3329.78370225863</x:v>
      </x:c>
      <x:c r="D42" s="4"/>
      <x:c r="E42" s="4"/>
      <x:c r="F42" s="4"/>
      <x:c r="G42" s="4"/>
      <x:c r="H42" s="4"/>
      <x:c r="I42" s="4"/>
      <x:c r="J42" s="4"/>
      <x:c r="K42" s="4"/>
      <x:c r="L42" s="4"/>
      <x:c r="M42" s="4"/>
      <x:c r="N42" s="4"/>
      <x:c r="O42" s="4"/>
      <x:c r="P42" s="4"/>
      <x:c r="Q42" s="4"/>
    </x:row>
    <x:row r="43" ht="23" customHeight="1">
      <x:c r="A43" s="4"/>
      <x:c r="B43" s="226" t="str">
        <x:v>2032</x:v>
      </x:c>
      <x:c r="C43" s="4" t="n">
        <x:f>I10</x:f>
        <x:v>3764.744113430711</x:v>
      </x:c>
      <x:c r="D43" s="4"/>
      <x:c r="E43" s="4"/>
      <x:c r="F43" s="4"/>
      <x:c r="G43" s="4"/>
      <x:c r="H43" s="4"/>
      <x:c r="I43" s="4"/>
      <x:c r="J43" s="4"/>
      <x:c r="K43" s="4"/>
      <x:c r="L43" s="4"/>
      <x:c r="M43" s="4"/>
      <x:c r="N43" s="4"/>
      <x:c r="O43" s="4"/>
      <x:c r="P43" s="4"/>
      <x:c r="Q43" s="4"/>
    </x:row>
    <x:row r="44" ht="23" customHeight="1">
      <x:c r="A44" s="4"/>
      <x:c r="B44" s="226" t="str">
        <x:v>2033</x:v>
      </x:c>
      <x:c r="C44" s="4" t="n">
        <x:f>J10</x:f>
        <x:v>4202.614229508704</x:v>
      </x:c>
      <x:c r="D44" s="4"/>
      <x:c r="E44" s="4"/>
      <x:c r="F44" s="4"/>
      <x:c r="G44" s="4"/>
      <x:c r="H44" s="4"/>
      <x:c r="I44" s="4"/>
      <x:c r="J44" s="4"/>
      <x:c r="K44" s="4"/>
      <x:c r="L44" s="4"/>
      <x:c r="M44" s="4"/>
      <x:c r="N44" s="4"/>
      <x:c r="O44" s="4"/>
      <x:c r="P44" s="4"/>
      <x:c r="Q44" s="4"/>
    </x:row>
    <x:row r="45" ht="23" customHeight="1">
      <x:c r="A45" s="4"/>
      <x:c r="B45" s="226" t="str">
        <x:v>2034</x:v>
      </x:c>
      <x:c r="C45" s="4" t="n">
        <x:f>K10</x:f>
        <x:v>4637.20900670207</x:v>
      </x:c>
      <x:c r="D45" s="4"/>
      <x:c r="E45" s="4"/>
      <x:c r="F45" s="4"/>
      <x:c r="G45" s="4"/>
      <x:c r="H45" s="4"/>
      <x:c r="I45" s="4"/>
      <x:c r="J45" s="4"/>
      <x:c r="K45" s="4"/>
      <x:c r="L45" s="4"/>
      <x:c r="M45" s="4"/>
      <x:c r="N45" s="4"/>
      <x:c r="O45" s="4"/>
      <x:c r="P45" s="4"/>
      <x:c r="Q45" s="4"/>
    </x:row>
    <x:row r="46" ht="23" customHeight="1">
      <x:c r="A46" s="4"/>
      <x:c r="B46" s="226" t="str">
        <x:v>2035</x:v>
      </x:c>
      <x:c r="C46" s="4" t="n">
        <x:f>L10</x:f>
        <x:v>5063.207460442486</x:v>
      </x:c>
      <x:c r="D46" s="4"/>
      <x:c r="E46" s="4"/>
      <x:c r="F46" s="4"/>
      <x:c r="G46" s="4"/>
      <x:c r="H46" s="4"/>
      <x:c r="I46" s="4"/>
      <x:c r="J46" s="4"/>
      <x:c r="K46" s="4"/>
      <x:c r="L46" s="4"/>
      <x:c r="M46" s="4"/>
      <x:c r="N46" s="4"/>
      <x:c r="O46" s="4"/>
      <x:c r="P46" s="4"/>
      <x:c r="Q46" s="4"/>
    </x:row>
    <x:row r="47" ht="23" customHeight="1">
      <x:c r="A47" s="4"/>
      <x:c r="B47" s="4"/>
      <x:c r="C47" s="4"/>
      <x:c r="D47" s="4"/>
      <x:c r="E47" s="4"/>
      <x:c r="F47" s="4"/>
      <x:c r="G47" s="4"/>
      <x:c r="H47" s="4"/>
      <x:c r="I47" s="4"/>
      <x:c r="J47" s="4"/>
      <x:c r="K47" s="4"/>
      <x:c r="L47" s="4"/>
      <x:c r="M47" s="4"/>
      <x:c r="N47" s="4"/>
      <x:c r="O47" s="4"/>
      <x:c r="P47" s="4"/>
      <x:c r="Q47" s="4"/>
    </x:row>
    <x:row r="48" ht="23" customHeight="1">
      <x:c r="A48" s="4"/>
      <x:c r="B48" s="4"/>
      <x:c r="C48" s="4"/>
      <x:c r="D48" s="4"/>
      <x:c r="E48" s="4"/>
      <x:c r="F48" s="4"/>
      <x:c r="G48" s="4"/>
      <x:c r="H48" s="4"/>
      <x:c r="I48" s="4"/>
      <x:c r="J48" s="4"/>
      <x:c r="K48" s="4"/>
      <x:c r="L48" s="4"/>
      <x:c r="M48" s="4"/>
      <x:c r="N48" s="4"/>
      <x:c r="O48" s="4"/>
      <x:c r="P48" s="4"/>
      <x:c r="Q48" s="4"/>
    </x:row>
    <x:row r="49" ht="23" customHeight="1">
      <x:c r="A49" s="4"/>
      <x:c r="B49" s="4"/>
      <x:c r="C49" s="4"/>
      <x:c r="D49" s="4"/>
      <x:c r="E49" s="4"/>
      <x:c r="F49" s="4"/>
      <x:c r="G49" s="4"/>
      <x:c r="H49" s="4"/>
      <x:c r="I49" s="4"/>
      <x:c r="J49" s="4"/>
      <x:c r="K49" s="4"/>
      <x:c r="L49" s="4"/>
      <x:c r="M49" s="4"/>
      <x:c r="N49" s="4"/>
      <x:c r="O49" s="4"/>
      <x:c r="P49" s="4"/>
      <x:c r="Q49" s="4"/>
    </x:row>
    <x:row r="50" ht="23" customHeight="1">
      <x:c r="A50" s="4"/>
      <x:c r="B50" s="4"/>
      <x:c r="C50" s="4"/>
      <x:c r="D50" s="4"/>
      <x:c r="E50" s="4"/>
      <x:c r="F50" s="4"/>
      <x:c r="G50" s="4"/>
      <x:c r="H50" s="4"/>
      <x:c r="I50" s="4"/>
      <x:c r="J50" s="4"/>
      <x:c r="K50" s="4"/>
      <x:c r="L50" s="4"/>
      <x:c r="M50" s="4"/>
      <x:c r="N50" s="4"/>
      <x:c r="O50" s="4"/>
      <x:c r="P50" s="4"/>
      <x:c r="Q50" s="4"/>
    </x:row>
    <x:row r="51" ht="23" customHeight="1">
      <x:c r="A51" s="4"/>
      <x:c r="B51" s="4"/>
      <x:c r="C51" s="4"/>
      <x:c r="D51" s="4"/>
      <x:c r="E51" s="4"/>
      <x:c r="F51" s="4"/>
      <x:c r="G51" s="4"/>
      <x:c r="H51" s="4"/>
      <x:c r="I51" s="4"/>
      <x:c r="J51" s="4"/>
      <x:c r="K51" s="4"/>
      <x:c r="L51" s="4"/>
      <x:c r="M51" s="4"/>
      <x:c r="N51" s="4"/>
      <x:c r="O51" s="4"/>
      <x:c r="P51" s="4"/>
      <x:c r="Q51" s="4"/>
    </x:row>
    <x:row r="52" ht="23" customHeight="1">
      <x:c r="A52" s="4"/>
      <x:c r="B52" s="4"/>
      <x:c r="C52" s="4"/>
      <x:c r="D52" s="4"/>
      <x:c r="E52" s="4"/>
      <x:c r="F52" s="4"/>
      <x:c r="G52" s="4"/>
      <x:c r="H52" s="4"/>
      <x:c r="I52" s="4"/>
      <x:c r="J52" s="4"/>
      <x:c r="K52" s="4"/>
      <x:c r="L52" s="4"/>
      <x:c r="M52" s="4"/>
      <x:c r="N52" s="4"/>
      <x:c r="O52" s="4"/>
      <x:c r="P52" s="4"/>
      <x:c r="Q52" s="4"/>
    </x:row>
    <x:row r="53" ht="23" customHeight="1">
      <x:c r="A53" s="4"/>
      <x:c r="B53" s="4"/>
      <x:c r="C53" s="4"/>
      <x:c r="D53" s="4"/>
      <x:c r="E53" s="4"/>
      <x:c r="F53" s="4"/>
      <x:c r="G53" s="4"/>
      <x:c r="H53" s="4"/>
      <x:c r="I53" s="4"/>
      <x:c r="J53" s="4"/>
      <x:c r="K53" s="4"/>
      <x:c r="L53" s="4"/>
      <x:c r="M53" s="4"/>
      <x:c r="N53" s="4"/>
      <x:c r="O53" s="4"/>
      <x:c r="P53" s="4"/>
      <x:c r="Q53" s="4"/>
    </x:row>
    <x:row r="54" ht="25" customHeight="1">
      <x:c r="A54" s="4"/>
      <x:c r="B54" s="58" t="str">
        <x:v>Capital Asset Forecast</x:v>
      </x:c>
      <x:c r="C54" s="58"/>
      <x:c r="D54" s="58"/>
      <x:c r="E54" s="58"/>
      <x:c r="F54" s="58"/>
      <x:c r="G54" s="58"/>
      <x:c r="H54" s="58"/>
      <x:c r="I54" s="58"/>
      <x:c r="J54" s="58"/>
      <x:c r="K54" s="58"/>
      <x:c r="L54" s="58"/>
      <x:c r="M54" s="58"/>
      <x:c r="N54" s="58"/>
      <x:c r="O54" s="58"/>
      <x:c r="P54" s="58"/>
      <x:c r="Q54" s="58"/>
    </x:row>
    <x:row r="55" ht="34" customHeight="1">
      <x:c r="A55" s="4"/>
      <x:c r="B55" s="42" t="str">
        <x:v>Metric</x:v>
      </x:c>
      <x:c r="C55" s="215" t="n">
        <x:v>2026</x:v>
      </x:c>
      <x:c r="D55" s="215" t="n">
        <x:v>2027</x:v>
      </x:c>
      <x:c r="E55" s="215" t="n">
        <x:v>2028</x:v>
      </x:c>
      <x:c r="F55" s="215" t="n">
        <x:v>2029</x:v>
      </x:c>
      <x:c r="G55" s="215" t="n">
        <x:v>2030</x:v>
      </x:c>
      <x:c r="H55" s="215" t="n">
        <x:v>2031</x:v>
      </x:c>
      <x:c r="I55" s="215" t="n">
        <x:v>2032</x:v>
      </x:c>
      <x:c r="J55" s="215" t="n">
        <x:v>2033</x:v>
      </x:c>
      <x:c r="K55" s="215" t="n">
        <x:v>2034</x:v>
      </x:c>
      <x:c r="L55" s="215" t="n">
        <x:v>2035</x:v>
      </x:c>
      <x:c r="M55" s="42"/>
      <x:c r="N55" s="42"/>
      <x:c r="O55" s="42"/>
      <x:c r="P55" s="42"/>
      <x:c r="Q55" s="42"/>
    </x:row>
    <x:row r="56" ht="33" customHeight="1">
      <x:c r="A56" s="4"/>
      <x:c r="B56" s="118" t="str">
        <x:v>Opening net capital assets</x:v>
      </x:c>
      <x:c r="C56" s="214" t="n">
        <x:f>'Assumptions'!$G$12</x:f>
        <x:v>459.28</x:v>
      </x:c>
      <x:c r="D56" s="214" t="n">
        <x:f>C60</x:f>
        <x:v>535.4680989516129</x:v>
      </x:c>
      <x:c r="E56" s="214" t="n">
        <x:f>D60</x:f>
        <x:v>615.5296771082108</x:v>
      </x:c>
      <x:c r="F56" s="214" t="n">
        <x:f>E60</x:f>
        <x:v>694.7426936191684</x:v>
      </x:c>
      <x:c r="G56" s="214" t="n">
        <x:f>F60</x:f>
        <x:v>770.0585674797252</x:v>
      </x:c>
      <x:c r="H56" s="214" t="n">
        <x:f>G60</x:f>
        <x:v>842.3673105513157</x:v>
      </x:c>
      <x:c r="I56" s="214" t="n">
        <x:f>H60</x:f>
        <x:v>908.6485787953119</x:v>
      </x:c>
      <x:c r="J56" s="214" t="n">
        <x:f>I60</x:f>
        <x:v>967.843814198423</x:v>
      </x:c>
      <x:c r="K56" s="214" t="n">
        <x:f>J60</x:f>
        <x:v>1015.4053232735956</x:v>
      </x:c>
      <x:c r="L56" s="214" t="n">
        <x:f>K60</x:f>
        <x:v>1050.5947364725466</x:v>
      </x:c>
      <x:c r="M56" s="4"/>
      <x:c r="N56" s="4"/>
      <x:c r="O56" s="4"/>
      <x:c r="P56" s="4"/>
      <x:c r="Q56" s="4"/>
    </x:row>
    <x:row r="57" ht="33" customHeight="1">
      <x:c r="A57" s="4"/>
      <x:c r="B57" s="118" t="str">
        <x:v>Cash capital additions</x:v>
      </x:c>
      <x:c r="C57" s="214" t="n">
        <x:f>'Scenarios'!C28</x:f>
        <x:v>173.61112530241937</x:v>
      </x:c>
      <x:c r="D57" s="214" t="n">
        <x:f>'Scenarios'!D28</x:f>
        <x:v>193.65037403369456</x:v>
      </x:c>
      <x:c r="E57" s="214" t="n">
        <x:f>'Scenarios'!E28</x:f>
        <x:v>211.14677856033268</x:v>
      </x:c>
      <x:c r="F57" s="214" t="n">
        <x:f>'Scenarios'!F28</x:f>
        <x:v>225.6786511131478</x:v>
      </x:c>
      <x:c r="G57" s="214" t="n">
        <x:f>'Scenarios'!G28</x:f>
        <x:v>240.9453402950266</x:v>
      </x:c>
      <x:c r="H57" s="214" t="n">
        <x:f>'Scenarios'!H28</x:f>
        <x:v>252.74915557047947</x:v>
      </x:c>
      <x:c r="I57" s="214" t="n">
        <x:f>'Scenarios'!I28</x:f>
        <x:v>260.6090454716543</x:v>
      </x:c>
      <x:c r="J57" s="214" t="n">
        <x:f>'Scenarios'!J28</x:f>
        <x:v>263.99614189487096</x:v>
      </x:c>
      <x:c r="K57" s="214" t="n">
        <x:f>'Scenarios'!K28</x:f>
        <x:v>262.4126545273524</x:v>
      </x:c>
      <x:c r="L57" s="214" t="n">
        <x:f>'Scenarios'!L28</x:f>
        <x:v>255.34953306912217</x:v>
      </x:c>
      <x:c r="M57" s="4"/>
      <x:c r="N57" s="4"/>
      <x:c r="O57" s="4"/>
      <x:c r="P57" s="4"/>
      <x:c r="Q57" s="4"/>
    </x:row>
    <x:row r="58" ht="33" customHeight="1">
      <x:c r="A58" s="4"/>
      <x:c r="B58" s="118" t="str">
        <x:v>Depreciation / amortization</x:v>
      </x:c>
      <x:c r="C58" s="214" t="n">
        <x:f>'Scenarios'!C18</x:f>
        <x:v>91.6067262701613</x:v>
      </x:c>
      <x:c r="D58" s="214" t="n">
        <x:f>'Scenarios'!D18</x:f>
        <x:v>106.48949613477821</x:v>
      </x:c>
      <x:c r="E58" s="214" t="n">
        <x:f>'Scenarios'!E18</x:f>
        <x:v>123.4219064332863</x:v>
      </x:c>
      <x:c r="F58" s="214" t="n">
        <x:f>'Scenarios'!F18</x:f>
        <x:v>140.33859210241835</x:v>
      </x:c>
      <x:c r="G58" s="214" t="n">
        <x:f>'Scenarios'!G18</x:f>
        <x:v>157.00648707009563</x:v>
      </x:c>
      <x:c r="H58" s="214" t="n">
        <x:f>'Scenarios'!H18</x:f>
        <x:v>173.14875251744874</x:v>
      </x:c>
      <x:c r="I58" s="214" t="n">
        <x:f>'Scenarios'!I18</x:f>
        <x:v>188.23720567153555</x:v>
      </x:c>
      <x:c r="J58" s="214" t="n">
        <x:f>'Scenarios'!J18</x:f>
        <x:v>201.7254830164178</x:v>
      </x:c>
      <x:c r="K58" s="214" t="n">
        <x:f>'Scenarios'!K18</x:f>
        <x:v>213.31161430829522</x:v>
      </x:c>
      <x:c r="L58" s="214" t="n">
        <x:f>'Scenarios'!L18</x:f>
        <x:v>227.84433571991187</x:v>
      </x:c>
      <x:c r="M58" s="4"/>
      <x:c r="N58" s="4"/>
      <x:c r="O58" s="4"/>
      <x:c r="P58" s="4"/>
      <x:c r="Q58" s="4"/>
    </x:row>
    <x:row r="59" ht="33" customHeight="1">
      <x:c r="A59" s="4"/>
      <x:c r="B59" s="118" t="str">
        <x:v>Noncash write-downs / disposal losses</x:v>
      </x:c>
      <x:c r="C59" s="214" t="n">
        <x:f>'Scenarios'!C20</x:f>
        <x:v>5.816300080645162</x:v>
      </x:c>
      <x:c r="D59" s="214" t="n">
        <x:f>'Scenarios'!D20</x:f>
        <x:v>7.099299742318547</x:v>
      </x:c>
      <x:c r="E59" s="214" t="n">
        <x:f>'Scenarios'!E20</x:f>
        <x:v>8.51185561608871</x:v>
      </x:c>
      <x:c r="F59" s="214" t="n">
        <x:f>'Scenarios'!F20</x:f>
        <x:v>10.02418515017274</x:v>
      </x:c>
      <x:c r="G59" s="214" t="n">
        <x:f>'Scenarios'!G20</x:f>
        <x:v>11.630110153340416</x:v>
      </x:c>
      <x:c r="H59" s="214" t="n">
        <x:f>'Scenarios'!H20</x:f>
        <x:v>13.31913480903452</x:v>
      </x:c>
      <x:c r="I59" s="214" t="n">
        <x:f>'Scenarios'!I20</x:f>
        <x:v>13.17660439700749</x:v>
      </x:c>
      <x:c r="J59" s="214" t="n">
        <x:f>'Scenarios'!J20</x:f>
        <x:v>14.709149803280464</x:v>
      </x:c>
      <x:c r="K59" s="214" t="n">
        <x:f>'Scenarios'!K20</x:f>
        <x:v>13.91162702010621</x:v>
      </x:c>
      <x:c r="L59" s="214" t="n">
        <x:f>'Scenarios'!L20</x:f>
        <x:v>15.189622381327458</x:v>
      </x:c>
      <x:c r="M59" s="4"/>
      <x:c r="N59" s="4"/>
      <x:c r="O59" s="4"/>
      <x:c r="P59" s="4"/>
      <x:c r="Q59" s="4"/>
    </x:row>
    <x:row r="60" ht="33" customHeight="1">
      <x:c r="A60" s="4"/>
      <x:c r="B60" s="118" t="str">
        <x:v>Closing net capital assets</x:v>
      </x:c>
      <x:c r="C60" s="214" t="n">
        <x:f>C56+C57-C58-C59</x:f>
        <x:v>535.4680989516129</x:v>
      </x:c>
      <x:c r="D60" s="214" t="n">
        <x:f>D56+D57-D58-D59</x:f>
        <x:v>615.5296771082108</x:v>
      </x:c>
      <x:c r="E60" s="214" t="n">
        <x:f>E56+E57-E58-E59</x:f>
        <x:v>694.7426936191684</x:v>
      </x:c>
      <x:c r="F60" s="214" t="n">
        <x:f>F56+F57-F58-F59</x:f>
        <x:v>770.0585674797252</x:v>
      </x:c>
      <x:c r="G60" s="214" t="n">
        <x:f>G56+G57-G58-G59</x:f>
        <x:v>842.3673105513157</x:v>
      </x:c>
      <x:c r="H60" s="214" t="n">
        <x:f>H56+H57-H58-H59</x:f>
        <x:v>908.6485787953119</x:v>
      </x:c>
      <x:c r="I60" s="214" t="n">
        <x:f>I56+I57-I58-I59</x:f>
        <x:v>967.843814198423</x:v>
      </x:c>
      <x:c r="J60" s="214" t="n">
        <x:f>J56+J57-J58-J59</x:f>
        <x:v>1015.4053232735956</x:v>
      </x:c>
      <x:c r="K60" s="214" t="n">
        <x:f>K56+K57-K58-K59</x:f>
        <x:v>1050.5947364725466</x:v>
      </x:c>
      <x:c r="L60" s="214" t="n">
        <x:f>L56+L57-L58-L59</x:f>
        <x:v>1062.9103114404295</x:v>
      </x:c>
      <x:c r="M60" s="4"/>
      <x:c r="N60" s="4"/>
      <x:c r="O60" s="4"/>
      <x:c r="P60" s="4"/>
      <x:c r="Q60" s="4"/>
    </x:row>
    <x:row r="61" ht="23" customHeight="1">
      <x:c r="A61" s="4"/>
      <x:c r="B61" s="4"/>
      <x:c r="C61" s="4"/>
      <x:c r="D61" s="4"/>
      <x:c r="E61" s="4"/>
      <x:c r="F61" s="4"/>
      <x:c r="G61" s="4"/>
      <x:c r="H61" s="4"/>
      <x:c r="I61" s="4"/>
      <x:c r="J61" s="4"/>
      <x:c r="K61" s="4"/>
      <x:c r="L61" s="4"/>
      <x:c r="M61" s="4"/>
      <x:c r="N61" s="4"/>
      <x:c r="O61" s="4"/>
      <x:c r="P61" s="4"/>
      <x:c r="Q61" s="4"/>
    </x:row>
    <x:row r="62" ht="24" customHeight="1">
      <x:c r="A62" s="4"/>
      <x:c r="B62" s="26" t="str">
        <x:v>Asset forecast excludes operating-lease assets. Cash CapEx approximates additions; the modeled charge is allocated to owned</x:v>
      </x:c>
      <x:c r="C62" s="26"/>
      <x:c r="D62" s="26"/>
      <x:c r="E62" s="26"/>
      <x:c r="F62" s="26"/>
      <x:c r="G62" s="26"/>
      <x:c r="H62" s="26"/>
      <x:c r="I62" s="26"/>
      <x:c r="J62" s="26"/>
      <x:c r="K62" s="26"/>
      <x:c r="L62" s="26"/>
      <x:c r="M62" s="26"/>
      <x:c r="N62" s="26"/>
      <x:c r="O62" s="26"/>
      <x:c r="P62" s="26"/>
      <x:c r="Q62" s="26"/>
    </x:row>
    <x:row r="63" ht="24" customHeight="1">
      <x:c r="A63" s="4"/>
      <x:c r="B63" s="45" t="str">
        <x:v>assets. Lease write-downs and construction-payable timing can change the actual split. Disposal proceeds are assumed zero.</x:v>
      </x:c>
      <x:c r="C63" s="4"/>
      <x:c r="D63" s="4"/>
      <x:c r="E63" s="4"/>
      <x:c r="F63" s="4"/>
      <x:c r="G63" s="4"/>
      <x:c r="H63" s="4"/>
      <x:c r="I63" s="4"/>
      <x:c r="J63" s="4"/>
      <x:c r="K63" s="4"/>
      <x:c r="L63" s="4"/>
      <x:c r="M63" s="4"/>
      <x:c r="N63" s="4"/>
      <x:c r="O63" s="4"/>
      <x:c r="P63" s="4"/>
      <x:c r="Q63" s="4"/>
    </x:row>
    <x:row r="64" ht="23" customHeight="1">
      <x:c r="A64" s="4"/>
      <x:c r="B64" s="4"/>
      <x:c r="C64" s="4"/>
      <x:c r="D64" s="4"/>
      <x:c r="E64" s="4"/>
      <x:c r="F64" s="4"/>
      <x:c r="G64" s="4"/>
      <x:c r="H64" s="4"/>
      <x:c r="I64" s="4"/>
      <x:c r="J64" s="4"/>
      <x:c r="K64" s="4"/>
      <x:c r="L64" s="4"/>
      <x:c r="M64" s="4"/>
      <x:c r="N64" s="4"/>
      <x:c r="O64" s="4"/>
      <x:c r="P64" s="4"/>
      <x:c r="Q64" s="4"/>
    </x:row>
    <x:row r="65" ht="23" customHeight="1">
      <x:c r="A65" s="4"/>
      <x:c r="B65" s="4"/>
      <x:c r="C65" s="4"/>
      <x:c r="D65" s="4"/>
      <x:c r="E65" s="4"/>
      <x:c r="F65" s="4"/>
      <x:c r="G65" s="4"/>
      <x:c r="H65" s="4"/>
      <x:c r="I65" s="4"/>
      <x:c r="J65" s="4"/>
      <x:c r="K65" s="4"/>
      <x:c r="L65" s="4"/>
      <x:c r="M65" s="4"/>
      <x:c r="N65" s="4"/>
      <x:c r="O65" s="4"/>
      <x:c r="P65" s="4"/>
      <x:c r="Q65" s="4"/>
    </x:row>
  </x:sheetData>
  <x:pageMargins left="0.7" right="0.7" top="0.75" bottom="0.75" header="0.3" footer="0.3"/>
  <x:drawing xmlns:r="http://schemas.openxmlformats.org/officeDocument/2006/relationships" r:id="R36e047d8377047e8"/>
</x:worksheet>
</file>

<file path=xl/worksheets/sheet6.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34" hidden="0" customWidth="1"/>
    <x:col min="4" max="4" width="34" hidden="0" customWidth="1"/>
    <x:col min="5" max="5" width="34" hidden="0" customWidth="1"/>
    <x:col min="6" max="6" width="34" hidden="0" customWidth="1"/>
    <x:col min="7" max="7" width="14" hidden="0" customWidth="1"/>
  </x:cols>
  <x:sheetData>
    <x:row r="1" ht="31" customHeight="1">
      <x:c r="A1" s="6"/>
      <x:c r="B1" s="22" t="str">
        <x:v>CAVA, Operating Assumptions</x:v>
      </x:c>
      <x:c r="C1" s="22"/>
      <x:c r="D1" s="22"/>
      <x:c r="E1" s="22"/>
      <x:c r="F1" s="22"/>
      <x:c r="G1" s="22"/>
    </x:row>
    <x:row r="2" ht="34" customHeight="1">
      <x:c r="A2" s="7"/>
      <x:c r="B2" s="26" t="str">
        <x:v>Reported operating context and forecast assumptions.</x:v>
      </x:c>
      <x:c r="C2" s="26"/>
      <x:c r="D2" s="26"/>
      <x:c r="E2" s="26"/>
      <x:c r="F2" s="26"/>
      <x:c r="G2" s="26"/>
    </x:row>
    <x:row r="3" ht="23" customHeight="1">
      <x:c r="A3" s="4"/>
      <x:c r="B3" s="4"/>
      <x:c r="C3" s="4"/>
      <x:c r="D3" s="4"/>
      <x:c r="E3" s="4"/>
      <x:c r="F3" s="4"/>
      <x:c r="G3" s="4"/>
    </x:row>
    <x:row r="4" ht="25" customHeight="1">
      <x:c r="A4" s="4"/>
      <x:c r="B4" s="57" t="str">
        <x:v>Forecast Assumptions</x:v>
      </x:c>
      <x:c r="C4" s="58"/>
      <x:c r="D4" s="58"/>
      <x:c r="E4" s="58"/>
      <x:c r="F4" s="58"/>
      <x:c r="G4" s="4"/>
    </x:row>
    <x:row r="5" ht="45" customHeight="1">
      <x:c r="A5" s="4"/>
      <x:c r="B5" s="40" t="str">
        <x:v>Assumption</x:v>
      </x:c>
      <x:c r="C5" s="40" t="str">
        <x:v>Model variable</x:v>
      </x:c>
      <x:c r="D5" s="40" t="str">
        <x:v>Historical / current support</x:v>
      </x:c>
      <x:c r="E5" s="40" t="str">
        <x:v>Base-case logic</x:v>
      </x:c>
      <x:c r="F5" s="40" t="str">
        <x:v>What could prove it wrong</x:v>
      </x:c>
      <x:c r="G5" s="42"/>
    </x:row>
    <x:row r="6" ht="62" customHeight="1">
      <x:c r="A6" s="4"/>
      <x:c r="B6" s="7" t="str">
        <x:v>Restaurant footprint</x:v>
      </x:c>
      <x:c r="C6" s="7" t="str">
        <x:v>Annual openings and ending units</x:v>
      </x:c>
      <x:c r="D6" s="7" t="str">
        <x:v>439 FY2025 restaurants; Q1 FY2026 ended at 459; FY2026 guide 75-77 openings</x:v>
      </x:c>
      <x:c r="E6" s="7" t="str">
        <x:v>Openings increase, then slow as the restaurant count grows</x:v>
      </x:c>
      <x:c r="F6" s="7" t="str">
        <x:v>Opening delays, lower returns or new locations taking sales from existing stores</x:v>
      </x:c>
      <x:c r="G6" s="4"/>
    </x:row>
    <x:row r="7" ht="62" customHeight="1">
      <x:c r="A7" s="4"/>
      <x:c r="B7" s="7" t="str">
        <x:v>Same-restaurant sales</x:v>
      </x:c>
      <x:c r="C7" s="7" t="str">
        <x:v>Traffic + price/mix</x:v>
      </x:c>
      <x:c r="D7" s="7" t="str">
        <x:v>FY2025 +4.0%; Q1 FY2026 +9.7%, including +6.8% traffic</x:v>
      </x:c>
      <x:c r="E7" s="7" t="str">
        <x:v>FY2026 uses guidance midpoint; later years normalize toward 2.5%</x:v>
      </x:c>
      <x:c r="F7" s="7" t="str">
        <x:v>Traffic falls despite normal promotions and economic conditions</x:v>
      </x:c>
      <x:c r="G7" s="4"/>
    </x:row>
    <x:row r="8" ht="62" customHeight="1">
      <x:c r="A8" s="4"/>
      <x:c r="B8" s="7" t="str">
        <x:v>AUV</x:v>
      </x:c>
      <x:c r="C8" s="7" t="str">
        <x:v>Prior AUV × (1 + SRS)</x:v>
      </x:c>
      <x:c r="D8" s="7" t="str">
        <x:v>FY2022 $2.398m; FY2025 $2.934m; Q1 FY2026 $3.027m</x:v>
      </x:c>
      <x:c r="E8" s="7" t="str">
        <x:v>AUV compounds with SRS; no separate perpetual pricing assumption</x:v>
      </x:c>
      <x:c r="F8" s="7" t="str">
        <x:v>New-market sales remain below established stores, or higher prices reduce traffic</x:v>
      </x:c>
      <x:c r="G8" s="4"/>
    </x:row>
    <x:row r="9" ht="62" customHeight="1">
      <x:c r="A9" s="4"/>
      <x:c r="B9" s="7" t="str">
        <x:v>New-store first-year sales</x:v>
      </x:c>
      <x:c r="C9" s="7" t="str">
        <x:v>Openings × AUV × first-year factor</x:v>
      </x:c>
      <x:c r="D9" s="7" t="str">
        <x:v>New FY2025 restaurants were described as trending above $3m AUV</x:v>
      </x:c>
      <x:c r="E9" s="7" t="str">
        <x:v>45% of full-year sales allows for midyear openings and lower initial sales</x:v>
      </x:c>
      <x:c r="F9" s="7" t="str">
        <x:v>Late openings or slower sales reduce first-year revenue</x:v>
      </x:c>
      <x:c r="G9" s="4"/>
    </x:row>
    <x:row r="10" ht="62" customHeight="1">
      <x:c r="A10" s="4"/>
      <x:c r="B10" s="7" t="str">
        <x:v>Restaurant margin</x:v>
      </x:c>
      <x:c r="C10" s="7" t="str">
        <x:v>CAVA revenue × RLP margin</x:v>
      </x:c>
      <x:c r="D10" s="7" t="str">
        <x:v>24.4% FY2025; 25.1% Q1 FY2026; FY2026 guide 23.7%-24.3%</x:v>
      </x:c>
      <x:c r="E10" s="7" t="str">
        <x:v>Starts at 24.0% and rises as sales grow faster than restaurant costs</x:v>
      </x:c>
      <x:c r="F10" s="7" t="str">
        <x:v>Food/labor/delivery inflation outpaces pricing and productivity</x:v>
      </x:c>
      <x:c r="G10" s="4"/>
    </x:row>
    <x:row r="11" ht="62" customHeight="1">
      <x:c r="A11" s="4"/>
      <x:c r="B11" s="7" t="str">
        <x:v>Corporate costs / revenue</x:v>
      </x:c>
      <x:c r="C11" s="7" t="str">
        <x:v>G&amp;A / revenue</x:v>
      </x:c>
      <x:c r="D11" s="7" t="str">
        <x:v>11.7% FY2025; Q1 FY2026 GAAP G&amp;A 11.8%, 9.9% excluding specified items</x:v>
      </x:c>
      <x:c r="E11" s="7" t="str">
        <x:v>Falls toward 6.8% by FY2035, but never disappears</x:v>
      </x:c>
      <x:c r="F11" s="7" t="str">
        <x:v>Corporate costs rise as fast as revenue or stock compensation rises</x:v>
      </x:c>
      <x:c r="G11" s="4"/>
    </x:row>
    <x:row r="12" ht="62" customHeight="1">
      <x:c r="A12" s="4"/>
      <x:c r="B12" s="7" t="str">
        <x:v>Pre-opening costs</x:v>
      </x:c>
      <x:c r="C12" s="7" t="str">
        <x:v>Pre-opening / revenue</x:v>
      </x:c>
      <x:c r="D12" s="7" t="str">
        <x:v>$19.1m FY2025; FY2026 guide $22.0m-$22.5m</x:v>
      </x:c>
      <x:c r="E12" s="7" t="str">
        <x:v>Falls as a share of revenue. Opening costs are still deducted</x:v>
      </x:c>
      <x:c r="F12" s="7" t="str">
        <x:v>More complex markets or construction delays raise cost per opening</x:v>
      </x:c>
      <x:c r="G12" s="4"/>
    </x:row>
    <x:row r="13" ht="62" customHeight="1">
      <x:c r="A13" s="4"/>
      <x:c r="B13" s="7" t="str">
        <x:v>Buildout capex</x:v>
      </x:c>
      <x:c r="C13" s="7" t="str">
        <x:v>Openings × capex/opening</x:v>
      </x:c>
      <x:c r="D13" s="7" t="str">
        <x:v>FY2025 PP&amp;E purchases $158.7m for 72 openings plus maintenance/infrastructure</x:v>
      </x:c>
      <x:c r="E13" s="7" t="str">
        <x:v>Per-opening cost starts near $1.8m; total capex also includes maintenance and infrastructure</x:v>
      </x:c>
      <x:c r="F13" s="7" t="str">
        <x:v>Construction inflation, landlord terms, or drive-thru formats increase spend</x:v>
      </x:c>
      <x:c r="G13" s="4"/>
    </x:row>
    <x:row r="14" ht="62" customHeight="1">
      <x:c r="A14" s="4"/>
      <x:c r="B14" s="7" t="str">
        <x:v>Maintenance capex</x:v>
      </x:c>
      <x:c r="C14" s="7" t="str">
        <x:v>Revenue × maintenance %</x:v>
      </x:c>
      <x:c r="D14" s="7" t="str">
        <x:v>Not separately disclosed</x:v>
      </x:c>
      <x:c r="E14" s="7" t="str">
        <x:v>1.5% of revenue in base; total capex is always deducted</x:v>
      </x:c>
      <x:c r="F14" s="7" t="str">
        <x:v>Restaurant refresh needs prove structurally higher</x:v>
      </x:c>
      <x:c r="G14" s="4"/>
    </x:row>
    <x:row r="15" ht="62" customHeight="1">
      <x:c r="A15" s="4"/>
      <x:c r="B15" s="7" t="str">
        <x:v>Working capital</x:v>
      </x:c>
      <x:c r="C15" s="7" t="str">
        <x:v>NWC / revenue</x:v>
      </x:c>
      <x:c r="D15" s="7" t="str">
        <x:v>Restaurant cash model generally creates low or negative operating NWC</x:v>
      </x:c>
      <x:c r="E15" s="7" t="str">
        <x:v>−1.0% of revenue; growth provides a small cash source</x:v>
      </x:c>
      <x:c r="F15" s="7" t="str">
        <x:v>Inventory, receivables, or payment terms absorb cash</x:v>
      </x:c>
      <x:c r="G15" s="4"/>
    </x:row>
    <x:row r="16" ht="62" customHeight="1">
      <x:c r="A16" s="4"/>
      <x:c r="B16" s="7" t="str">
        <x:v>Assumptions after the forecast</x:v>
      </x:c>
      <x:c r="C16" s="7" t="str">
        <x:v>FY2036 NOPAT less growth investment</x:v>
      </x:c>
      <x:c r="D16" s="7" t="str">
        <x:v>More than 1,000 U.S. restaurants by 2032 was a company long-term target</x:v>
      </x:c>
      <x:c r="E16" s="7" t="str">
        <x:v>By FY2035, 1,271 restaurants and company operating margin in the low teens</x:v>
      </x:c>
      <x:c r="F16" s="7" t="str">
        <x:v>Fewer profitable locations, lower margins, or a lower return on new investment.</x:v>
      </x:c>
      <x:c r="G16" s="4"/>
    </x:row>
    <x:row r="17" ht="23" customHeight="1">
      <x:c r="A17" s="4"/>
      <x:c r="B17" s="4"/>
      <x:c r="C17" s="4"/>
      <x:c r="D17" s="4"/>
      <x:c r="E17" s="4"/>
      <x:c r="F17" s="4"/>
      <x:c r="G17" s="4"/>
    </x:row>
    <x:row r="18" ht="23" customHeight="1">
      <x:c r="A18" s="4"/>
      <x:c r="B18" s="4"/>
      <x:c r="C18" s="4"/>
      <x:c r="D18" s="4"/>
      <x:c r="E18" s="4"/>
      <x:c r="F18" s="4"/>
      <x:c r="G18" s="4"/>
    </x:row>
    <x:row r="19" ht="28" customHeight="1">
      <x:c r="A19" s="4"/>
      <x:c r="B19" s="7" t="str">
        <x:v>Q1 FY2026 and Guidance Checkpoint</x:v>
      </x:c>
      <x:c r="C19" s="4"/>
      <x:c r="D19" s="4"/>
      <x:c r="E19" s="4"/>
      <x:c r="F19" s="4"/>
      <x:c r="G19" s="4"/>
    </x:row>
    <x:row r="20" ht="23" customHeight="1">
      <x:c r="A20" s="4"/>
      <x:c r="B20" s="6" t="str">
        <x:v>Q1 consolidated revenue</x:v>
      </x:c>
      <x:c r="C20" s="93" t="n">
        <x:v>438.27</x:v>
      </x:c>
      <x:c r="D20" s="6" t="str">
        <x:v>Q1 CAVA revenue</x:v>
      </x:c>
      <x:c r="E20" s="93" t="n">
        <x:v>434.392</x:v>
      </x:c>
      <x:c r="F20" s="6" t="str">
        <x:v>C02/C03</x:v>
      </x:c>
      <x:c r="G20" s="4"/>
    </x:row>
    <x:row r="21" ht="23" customHeight="1">
      <x:c r="A21" s="4"/>
      <x:c r="B21" s="6" t="str">
        <x:v>Q1 ending restaurants</x:v>
      </x:c>
      <x:c r="C21" s="93" t="n">
        <x:v>459</x:v>
      </x:c>
      <x:c r="D21" s="6" t="str">
        <x:v>Q1 net openings</x:v>
      </x:c>
      <x:c r="E21" s="93" t="n">
        <x:v>20</x:v>
      </x:c>
      <x:c r="F21" s="6" t="str">
        <x:v>C02/C03</x:v>
      </x:c>
      <x:c r="G21" s="4"/>
    </x:row>
    <x:row r="22" ht="23" customHeight="1">
      <x:c r="A22" s="4"/>
      <x:c r="B22" s="6" t="str">
        <x:v>Q1 same-restaurant sales</x:v>
      </x:c>
      <x:c r="C22" s="102" t="n">
        <x:v>0.097</x:v>
      </x:c>
      <x:c r="D22" s="15" t="str">
        <x:v>Traffic / price-mix</x:v>
      </x:c>
      <x:c r="E22" s="93" t="n">
        <x:v>0.068</x:v>
      </x:c>
      <x:c r="F22" s="6" t="str">
        <x:v>traffic; price/mix 2.9%</x:v>
      </x:c>
      <x:c r="G22" s="4"/>
    </x:row>
    <x:row r="23" ht="23" customHeight="1">
      <x:c r="A23" s="4"/>
      <x:c r="B23" s="6" t="str">
        <x:v>Q1 RLP margin</x:v>
      </x:c>
      <x:c r="C23" s="102" t="n">
        <x:v>0.251</x:v>
      </x:c>
      <x:c r="D23" s="15" t="str">
        <x:v>Q1 adjusted EBITDA</x:v>
      </x:c>
      <x:c r="E23" s="93" t="n">
        <x:v>61.734</x:v>
      </x:c>
      <x:c r="F23" s="6" t="str">
        <x:v>C03</x:v>
      </x:c>
      <x:c r="G23" s="4"/>
    </x:row>
    <x:row r="24" ht="23" customHeight="1">
      <x:c r="A24" s="4"/>
      <x:c r="B24" s="6" t="str">
        <x:v>FY2026 guidance</x:v>
      </x:c>
      <x:c r="C24" s="93" t="n">
        <x:v>75</x:v>
      </x:c>
      <x:c r="D24" s="6" t="str">
        <x:v>to 77 openings; SRS 4.5%-6.5%</x:v>
      </x:c>
      <x:c r="E24" s="6" t="str">
        <x:v>RLP margin 23.7%-24.3%</x:v>
      </x:c>
      <x:c r="F24" s="6" t="str">
        <x:v>C03</x:v>
      </x:c>
      <x:c r="G24" s="4"/>
    </x:row>
    <x:row r="25" ht="23" customHeight="1">
      <x:c r="A25" s="4"/>
      <x:c r="B25" s="4"/>
      <x:c r="C25" s="4"/>
      <x:c r="D25" s="4"/>
      <x:c r="E25" s="4"/>
      <x:c r="F25" s="4"/>
      <x:c r="G25" s="4"/>
    </x:row>
    <x:row r="26" ht="23" customHeight="1">
      <x:c r="A26" s="4"/>
      <x:c r="B26" s="4"/>
      <x:c r="C26" s="4"/>
      <x:c r="D26" s="4"/>
      <x:c r="E26" s="4"/>
      <x:c r="F26" s="4"/>
      <x:c r="G26" s="4"/>
    </x:row>
    <x:row r="27" ht="23" customHeight="1">
      <x:c r="A27" s="4"/>
      <x:c r="B27" s="4"/>
      <x:c r="C27" s="4"/>
      <x:c r="D27" s="4"/>
      <x:c r="E27" s="4"/>
      <x:c r="F27" s="4"/>
      <x:c r="G27" s="4"/>
    </x:row>
    <x:row r="28" ht="23" customHeight="1">
      <x:c r="A28" s="4"/>
      <x:c r="B28" s="4"/>
      <x:c r="C28" s="4"/>
      <x:c r="D28" s="4"/>
      <x:c r="E28" s="4"/>
      <x:c r="F28" s="4"/>
      <x:c r="G28" s="4"/>
    </x:row>
    <x:row r="29" ht="23" customHeight="1">
      <x:c r="A29" s="4"/>
      <x:c r="B29" s="4"/>
      <x:c r="C29" s="4"/>
      <x:c r="D29" s="4"/>
      <x:c r="E29" s="4"/>
      <x:c r="F29" s="4"/>
      <x:c r="G29" s="4"/>
    </x:row>
    <x:row r="30" ht="23" customHeight="1">
      <x:c r="A30" s="4"/>
      <x:c r="B30" s="4"/>
      <x:c r="C30" s="4"/>
      <x:c r="D30" s="4"/>
      <x:c r="E30" s="4"/>
      <x:c r="F30" s="4"/>
      <x:c r="G30" s="4"/>
    </x:row>
  </x:sheetData>
  <x:pageMargins left="0.7" right="0.7" top="0.75" bottom="0.75" header="0.3" footer="0.3"/>
</x:worksheet>
</file>

<file path=xl/worksheets/sheet7.xml><?xml version="1.0" encoding="utf-8"?>
<x:worksheet xmlns:x="http://schemas.openxmlformats.org/spreadsheetml/2006/main">
  <x:sheetPr>
    <x:tabColor rgb="FFC8D1D8"/>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ht="31" customHeight="1">
      <x:c r="A1" s="6"/>
      <x:c r="B1" s="22" t="str">
        <x:v>CAVA, Scenario Calculations</x:v>
      </x:c>
      <x:c r="C1" s="22"/>
      <x:c r="D1" s="22"/>
      <x:c r="E1" s="22"/>
      <x:c r="F1" s="22"/>
      <x:c r="G1" s="22"/>
      <x:c r="H1" s="22"/>
      <x:c r="I1" s="22"/>
      <x:c r="J1" s="22"/>
      <x:c r="K1" s="22"/>
      <x:c r="L1" s="22"/>
      <x:c r="M1" s="22"/>
      <x:c r="N1" s="22"/>
      <x:c r="O1" s="22"/>
    </x:row>
    <x:row r="2" ht="34" customHeight="1">
      <x:c r="A2" s="7"/>
      <x:c r="B2" s="26" t="str">
        <x:v>Base, downside and upside restaurant forecasts. Growth slows in the last five years.</x:v>
      </x:c>
      <x:c r="C2" s="26"/>
      <x:c r="D2" s="26"/>
      <x:c r="E2" s="26"/>
      <x:c r="F2" s="26"/>
      <x:c r="G2" s="26"/>
      <x:c r="H2" s="26"/>
      <x:c r="I2" s="26"/>
      <x:c r="J2" s="26"/>
      <x:c r="K2" s="26"/>
      <x:c r="L2" s="26"/>
      <x:c r="M2" s="26"/>
      <x:c r="N2" s="26"/>
      <x:c r="O2" s="26"/>
    </x:row>
    <x:row r="3" ht="23" customHeight="1">
      <x:c r="A3" s="4"/>
      <x:c r="B3" s="4"/>
      <x:c r="C3" s="4"/>
      <x:c r="D3" s="4"/>
      <x:c r="E3" s="4"/>
      <x:c r="F3" s="4"/>
      <x:c r="G3" s="4"/>
      <x:c r="H3" s="4"/>
      <x:c r="I3" s="4"/>
      <x:c r="J3" s="4"/>
      <x:c r="K3" s="4"/>
      <x:c r="L3" s="4"/>
      <x:c r="M3" s="4"/>
      <x:c r="N3" s="4"/>
      <x:c r="O3" s="4"/>
    </x:row>
    <x:row r="4" ht="25" customHeight="1">
      <x:c r="A4" s="4"/>
      <x:c r="B4" s="57" t="str">
        <x:v>Base Case</x:v>
      </x:c>
      <x:c r="C4" s="58"/>
      <x:c r="D4" s="58"/>
      <x:c r="E4" s="58"/>
      <x:c r="F4" s="58"/>
      <x:c r="G4" s="58"/>
      <x:c r="H4" s="58"/>
      <x:c r="I4" s="58"/>
      <x:c r="J4" s="58"/>
      <x:c r="K4" s="58"/>
      <x:c r="L4" s="58"/>
      <x:c r="M4" s="4"/>
      <x:c r="N4" s="6" t="str">
        <x:v>Base Case Valuation</x:v>
      </x:c>
      <x:c r="O4" s="4"/>
    </x:row>
    <x:row r="5" ht="34" customHeight="1">
      <x:c r="A5" s="4"/>
      <x:c r="B5" s="40" t="str">
        <x:v>Metric</x:v>
      </x:c>
      <x:c r="C5" s="40" t="str">
        <x:v>FY2026E</x:v>
      </x:c>
      <x:c r="D5" s="40" t="str">
        <x:v>FY2027E</x:v>
      </x:c>
      <x:c r="E5" s="40" t="str">
        <x:v>FY2028E</x:v>
      </x:c>
      <x:c r="F5" s="40" t="str">
        <x:v>FY2029E</x:v>
      </x:c>
      <x:c r="G5" s="40" t="str">
        <x:v>FY2030E</x:v>
      </x:c>
      <x:c r="H5" s="40" t="str">
        <x:v>FY2031E</x:v>
      </x:c>
      <x:c r="I5" s="40" t="str">
        <x:v>FY2032E</x:v>
      </x:c>
      <x:c r="J5" s="40" t="str">
        <x:v>FY2033E</x:v>
      </x:c>
      <x:c r="K5" s="40" t="str">
        <x:v>FY2034E</x:v>
      </x:c>
      <x:c r="L5" s="40" t="str">
        <x:v>FY2035E</x:v>
      </x:c>
      <x:c r="M5" s="42"/>
      <x:c r="N5" s="42"/>
      <x:c r="O5" s="42"/>
    </x:row>
    <x:row r="6" ht="23" customHeight="1">
      <x:c r="A6" s="4"/>
      <x:c r="B6" s="6" t="str">
        <x:v>Beginning restaurants</x:v>
      </x:c>
      <x:c r="C6" s="105" t="n">
        <x:f>'Assumptions'!$C$18</x:f>
        <x:v>439</x:v>
      </x:c>
      <x:c r="D6" s="96" t="n">
        <x:f>C8</x:f>
        <x:v>515</x:v>
      </x:c>
      <x:c r="E6" s="96" t="n">
        <x:f>D8</x:f>
        <x:v>597</x:v>
      </x:c>
      <x:c r="F6" s="96" t="n">
        <x:f>E8</x:f>
        <x:v>683</x:v>
      </x:c>
      <x:c r="G6" s="96" t="n">
        <x:f>F8</x:f>
        <x:v>771</x:v>
      </x:c>
      <x:c r="H6" s="96" t="n">
        <x:f>G8</x:f>
        <x:v>861</x:v>
      </x:c>
      <x:c r="I6" s="96" t="n">
        <x:f>H8</x:f>
        <x:v>951</x:v>
      </x:c>
      <x:c r="J6" s="96" t="n">
        <x:f>I8</x:f>
        <x:v>1039</x:v>
      </x:c>
      <x:c r="K6" s="96" t="n">
        <x:f>J8</x:f>
        <x:v>1123</x:v>
      </x:c>
      <x:c r="L6" s="96" t="n">
        <x:f>K8</x:f>
        <x:v>1201</x:v>
      </x:c>
      <x:c r="M6" s="4"/>
      <x:c r="N6" s="6" t="str">
        <x:v>PV explicit FCFF</x:v>
      </x:c>
      <x:c r="O6" s="96" t="n">
        <x:f>SUM(C33:L33)</x:f>
        <x:v>875.3559064633095</x:v>
      </x:c>
    </x:row>
    <x:row r="7" ht="23" customHeight="1">
      <x:c r="A7" s="4"/>
      <x:c r="B7" s="6" t="str">
        <x:v>New openings</x:v>
      </x:c>
      <x:c r="C7" s="105" t="n">
        <x:f>'Assumptions'!C35</x:f>
        <x:v>76</x:v>
      </x:c>
      <x:c r="D7" s="105" t="n">
        <x:f>'Assumptions'!D35</x:f>
        <x:v>82</x:v>
      </x:c>
      <x:c r="E7" s="105" t="n">
        <x:f>'Assumptions'!E35</x:f>
        <x:v>86</x:v>
      </x:c>
      <x:c r="F7" s="105" t="n">
        <x:f>'Assumptions'!F35</x:f>
        <x:v>88</x:v>
      </x:c>
      <x:c r="G7" s="105" t="n">
        <x:f>'Assumptions'!G35</x:f>
        <x:v>90</x:v>
      </x:c>
      <x:c r="H7" s="105" t="n">
        <x:f>'Assumptions'!H35</x:f>
        <x:v>90</x:v>
      </x:c>
      <x:c r="I7" s="105" t="n">
        <x:f>'Assumptions'!I35</x:f>
        <x:v>88</x:v>
      </x:c>
      <x:c r="J7" s="105" t="n">
        <x:f>'Assumptions'!J35</x:f>
        <x:v>84</x:v>
      </x:c>
      <x:c r="K7" s="105" t="n">
        <x:f>'Assumptions'!K35</x:f>
        <x:v>78</x:v>
      </x:c>
      <x:c r="L7" s="105" t="n">
        <x:f>'Assumptions'!L35</x:f>
        <x:v>70</x:v>
      </x:c>
      <x:c r="M7" s="4"/>
      <x:c r="N7" s="6" t="str">
        <x:v>Terminal growth</x:v>
      </x:c>
      <x:c r="O7" s="128" t="n">
        <x:f>'Assumptions'!$C$22</x:f>
        <x:v>0.03</x:v>
      </x:c>
    </x:row>
    <x:row r="8" ht="23" customHeight="1">
      <x:c r="A8" s="4"/>
      <x:c r="B8" s="6" t="str">
        <x:v>Ending restaurants</x:v>
      </x:c>
      <x:c r="C8" s="96" t="n">
        <x:f>C6+C7</x:f>
        <x:v>515</x:v>
      </x:c>
      <x:c r="D8" s="96" t="n">
        <x:f>D6+D7</x:f>
        <x:v>597</x:v>
      </x:c>
      <x:c r="E8" s="96" t="n">
        <x:f>E6+E7</x:f>
        <x:v>683</x:v>
      </x:c>
      <x:c r="F8" s="96" t="n">
        <x:f>F6+F7</x:f>
        <x:v>771</x:v>
      </x:c>
      <x:c r="G8" s="96" t="n">
        <x:f>G6+G7</x:f>
        <x:v>861</x:v>
      </x:c>
      <x:c r="H8" s="96" t="n">
        <x:f>H6+H7</x:f>
        <x:v>951</x:v>
      </x:c>
      <x:c r="I8" s="96" t="n">
        <x:f>I6+I7</x:f>
        <x:v>1039</x:v>
      </x:c>
      <x:c r="J8" s="96" t="n">
        <x:f>J6+J7</x:f>
        <x:v>1123</x:v>
      </x:c>
      <x:c r="K8" s="96" t="n">
        <x:f>K6+K7</x:f>
        <x:v>1201</x:v>
      </x:c>
      <x:c r="L8" s="96" t="n">
        <x:f>L6+L7</x:f>
        <x:v>1271</x:v>
      </x:c>
      <x:c r="M8" s="4"/>
      <x:c r="N8" s="6" t="str">
        <x:v>WACC</x:v>
      </x:c>
      <x:c r="O8" s="128" t="n">
        <x:f>'Assumptions'!$C$21</x:f>
        <x:v>0.0998095</x:v>
      </x:c>
    </x:row>
    <x:row r="9" ht="23" customHeight="1">
      <x:c r="A9" s="4"/>
      <x:c r="B9" s="6" t="str">
        <x:v>AUV ($mm)</x:v>
      </x:c>
      <x:c r="C9" s="105" t="n">
        <x:f>'Assumptions'!$C$19*(1+'Assumptions'!C36)</x:f>
        <x:v>3.09537</x:v>
      </x:c>
      <x:c r="D9" s="105" t="n">
        <x:f>C9*(1+'Assumptions'!D36)</x:f>
        <x:v>3.2346616499999996</x:v>
      </x:c>
      <x:c r="E9" s="105" t="n">
        <x:f>D9*(1+'Assumptions'!E36)</x:f>
        <x:v>3.3640481159999998</x:v>
      </x:c>
      <x:c r="F9" s="105" t="n">
        <x:f>E9*(1+'Assumptions'!F36)</x:f>
        <x:v>3.4817898000599996</x:v>
      </x:c>
      <x:c r="G9" s="105" t="n">
        <x:f>F9*(1+'Assumptions'!G36)</x:f>
        <x:v>3.5932070736619197</x:v>
      </x:c>
      <x:c r="H9" s="105" t="n">
        <x:f>G9*(1+'Assumptions'!H36)</x:f>
        <x:v>3.7010032858717774</x:v>
      </x:c>
      <x:c r="I9" s="105" t="n">
        <x:f>H9*(1+'Assumptions'!I36)</x:f>
        <x:v>3.8046313778761873</x:v>
      </x:c>
      <x:c r="J9" s="105" t="n">
        <x:f>I9*(1+'Assumptions'!J36)</x:f>
        <x:v>3.9035517937009683</x:v>
      </x:c>
      <x:c r="K9" s="105" t="n">
        <x:f>J9*(1+'Assumptions'!K36)</x:f>
        <x:v>4.0011405885434925</x:v>
      </x:c>
      <x:c r="L9" s="105" t="n">
        <x:f>K9*(1+'Assumptions'!L36)</x:f>
        <x:v>4.10116910325708</x:v>
      </x:c>
      <x:c r="M9" s="4"/>
      <x:c r="N9" s="6" t="str">
        <x:v>Final explicit-year FCFF</x:v>
      </x:c>
      <x:c r="O9" s="96" t="n">
        <x:f>L31</x:f>
        <x:v>469.5198778604372</x:v>
      </x:c>
    </x:row>
    <x:row r="10" ht="28" customHeight="1">
      <x:c r="A10" s="4"/>
      <x:c r="B10" s="7" t="str">
        <x:v>Existing-store revenue, cohort adjusted</x:v>
      </x:c>
      <x:c r="C10" s="105" t="n">
        <x:f>(C6-'Historical'!$G$38*(1-'Assumptions'!$G$13))*C9</x:f>
        <x:v>1336.580766</x:v>
      </x:c>
      <x:c r="D10" s="105" t="n">
        <x:f>(D6-C7*(1-'Assumptions'!$G$13))*D9</x:f>
        <x:v>1641.2673212099996</x:v>
      </x:c>
      <x:c r="E10" s="105" t="n">
        <x:f>(E6-D7*(1-'Assumptions'!$G$13))*E9</x:f>
        <x:v>1980.7515307007998</x:v>
      </x:c>
      <x:c r="F10" s="105" t="n">
        <x:f>(F6-E7*(1-'Assumptions'!$G$13))*F9</x:f>
        <x:v>2348.1190411604634</x:v>
      </x:c>
      <x:c r="G10" s="105" t="n">
        <x:f>(G6-F7*(1-'Assumptions'!$G$13))*G9</x:f>
        <x:v>2738.7424315451153</x:v>
      </x:c>
      <x:c r="H10" s="105" t="n">
        <x:f>(H6-G7*(1-'Assumptions'!$G$13))*H9</x:f>
        <x:v>3153.254799562754</x:v>
      </x:c>
      <x:c r="I10" s="105" t="n">
        <x:f>(I6-H7*(1-'Assumptions'!$G$13))*I9</x:f>
        <x:v>3583.9627579593684</x:v>
      </x:c>
      <x:c r="J10" s="105" t="n">
        <x:f>(J6-I7*(1-'Assumptions'!$G$13))*J9</x:f>
        <x:v>4021.4390578707375</x:v>
      </x:c>
      <x:c r="K10" s="105" t="n">
        <x:f>(K6-J7*(1-'Assumptions'!$G$13))*K9</x:f>
        <x:v>4459.671299990577</x:v>
      </x:c>
      <x:c r="L10" s="105" t="n">
        <x:f>(L6-K7*(1-'Assumptions'!$G$13))*L9</x:f>
        <x:v>4893.514974006348</x:v>
      </x:c>
      <x:c r="M10" s="4"/>
      <x:c r="N10" s="6" t="str">
        <x:v>Terminal value</x:v>
      </x:c>
      <x:c r="O10" s="96" t="n">
        <x:f>IF(O8&gt;O7,O27/(O8-O7),"INPUT REQUIRED: WACC must exceed growth")</x:f>
        <x:v>5989.404343086498</x:v>
      </x:c>
    </x:row>
    <x:row r="11" ht="23" customHeight="1">
      <x:c r="A11" s="4"/>
      <x:c r="B11" s="6" t="str">
        <x:v>New-unit revenue</x:v>
      </x:c>
      <x:c r="C11" s="105" t="n">
        <x:f>C7*C9*'Assumptions'!$C$15</x:f>
        <x:v>105.861654</x:v>
      </x:c>
      <x:c r="D11" s="105" t="n">
        <x:f>D7*D9*'Assumptions'!$C$15</x:f>
        <x:v>119.35901488499998</x:v>
      </x:c>
      <x:c r="E11" s="105" t="n">
        <x:f>E7*E9*'Assumptions'!$C$15</x:f>
        <x:v>130.1886620892</x:v>
      </x:c>
      <x:c r="F11" s="105" t="n">
        <x:f>F7*F9*'Assumptions'!$C$15</x:f>
        <x:v>137.878876082376</x:v>
      </x:c>
      <x:c r="G11" s="105" t="n">
        <x:f>G7*G9*'Assumptions'!$C$15</x:f>
        <x:v>145.52488648330774</x:v>
      </x:c>
      <x:c r="H11" s="105" t="n">
        <x:f>H7*H9*'Assumptions'!$C$15</x:f>
        <x:v>149.890633077807</x:v>
      </x:c>
      <x:c r="I11" s="105" t="n">
        <x:f>I7*I9*'Assumptions'!$C$15</x:f>
        <x:v>150.66340256389702</x:v>
      </x:c>
      <x:c r="J11" s="105" t="n">
        <x:f>J7*J9*'Assumptions'!$C$15</x:f>
        <x:v>147.5542578018966</x:v>
      </x:c>
      <x:c r="K11" s="105" t="n">
        <x:f>K7*K9*'Assumptions'!$C$15</x:f>
        <x:v>140.4400346578766</x:v>
      </x:c>
      <x:c r="L11" s="105" t="n">
        <x:f>L7*L9*'Assumptions'!$C$15</x:f>
        <x:v>129.18682675259802</x:v>
      </x:c>
      <x:c r="M11" s="4"/>
      <x:c r="N11" s="6" t="str">
        <x:v>PV terminal value</x:v>
      </x:c>
      <x:c r="O11" s="96" t="n">
        <x:f>O10*L32</x:f>
        <x:v>2447.1458282612152</x:v>
      </x:c>
    </x:row>
    <x:row r="12" ht="23" customHeight="1">
      <x:c r="A12" s="4"/>
      <x:c r="B12" s="6" t="str">
        <x:v>CAVA revenue</x:v>
      </x:c>
      <x:c r="C12" s="96" t="n">
        <x:f>C10+C11</x:f>
        <x:v>1442.44242</x:v>
      </x:c>
      <x:c r="D12" s="96" t="n">
        <x:f>D10+D11</x:f>
        <x:v>1760.6263360949997</x:v>
      </x:c>
      <x:c r="E12" s="96" t="n">
        <x:f>E10+E11</x:f>
        <x:v>2110.94019279</x:v>
      </x:c>
      <x:c r="F12" s="96" t="n">
        <x:f>F10+F11</x:f>
        <x:v>2485.9979172428393</x:v>
      </x:c>
      <x:c r="G12" s="96" t="n">
        <x:f>G10+G11</x:f>
        <x:v>2884.2673180284232</x:v>
      </x:c>
      <x:c r="H12" s="96" t="n">
        <x:f>H10+H11</x:f>
        <x:v>3303.145432640561</x:v>
      </x:c>
      <x:c r="I12" s="96" t="n">
        <x:f>I10+I11</x:f>
        <x:v>3734.6261605232653</x:v>
      </x:c>
      <x:c r="J12" s="96" t="n">
        <x:f>J10+J11</x:f>
        <x:v>4168.993315672634</x:v>
      </x:c>
      <x:c r="K12" s="96" t="n">
        <x:f>K10+K11</x:f>
        <x:v>4600.1113346484535</x:v>
      </x:c>
      <x:c r="L12" s="96" t="n">
        <x:f>L10+L11</x:f>
        <x:v>5022.701800758946</x:v>
      </x:c>
      <x:c r="M12" s="4"/>
      <x:c r="N12" s="6" t="str">
        <x:v>Enterprise value</x:v>
      </x:c>
      <x:c r="O12" s="96" t="n">
        <x:f>O6+O11</x:f>
        <x:v>3322.501734724525</x:v>
      </x:c>
    </x:row>
    <x:row r="13" ht="23" customHeight="1">
      <x:c r="A13" s="4"/>
      <x:c r="B13" s="6" t="str">
        <x:v>Other revenue</x:v>
      </x:c>
      <x:c r="C13" s="105" t="n">
        <x:f>C12*'Assumptions'!$C$14/(1-'Assumptions'!$C$14)</x:f>
        <x:v>11.632600161290323</x:v>
      </x:c>
      <x:c r="D13" s="105" t="n">
        <x:f>D12*'Assumptions'!$C$14/(1-'Assumptions'!$C$14)</x:f>
        <x:v>14.198599484637096</x:v>
      </x:c>
      <x:c r="E13" s="105" t="n">
        <x:f>E12*'Assumptions'!$C$14/(1-'Assumptions'!$C$14)</x:f>
        <x:v>17.02371123217742</x:v>
      </x:c>
      <x:c r="F13" s="105" t="n">
        <x:f>F12*'Assumptions'!$C$14/(1-'Assumptions'!$C$14)</x:f>
        <x:v>20.04837030034548</x:v>
      </x:c>
      <x:c r="G13" s="105" t="n">
        <x:f>G12*'Assumptions'!$C$14/(1-'Assumptions'!$C$14)</x:f>
        <x:v>23.260220306680836</x:v>
      </x:c>
      <x:c r="H13" s="105" t="n">
        <x:f>H12*'Assumptions'!$C$14/(1-'Assumptions'!$C$14)</x:f>
        <x:v>26.63826961806904</x:v>
      </x:c>
      <x:c r="I13" s="105" t="n">
        <x:f>I12*'Assumptions'!$C$14/(1-'Assumptions'!$C$14)</x:f>
        <x:v>30.117952907445687</x:v>
      </x:c>
      <x:c r="J13" s="105" t="n">
        <x:f>J12*'Assumptions'!$C$14/(1-'Assumptions'!$C$14)</x:f>
        <x:v>33.62091383606963</x:v>
      </x:c>
      <x:c r="K13" s="105" t="n">
        <x:f>K12*'Assumptions'!$C$14/(1-'Assumptions'!$C$14)</x:f>
        <x:v>37.09767205361656</x:v>
      </x:c>
      <x:c r="L13" s="105" t="n">
        <x:f>L12*'Assumptions'!$C$14/(1-'Assumptions'!$C$14)</x:f>
        <x:v>40.50565968353989</x:v>
      </x:c>
      <x:c r="M13" s="4"/>
      <x:c r="N13" s="6" t="str">
        <x:v>Excess cash</x:v>
      </x:c>
      <x:c r="O13" s="105" t="n">
        <x:f>'Assumptions'!$C$11</x:f>
        <x:v>302.96000000000004</x:v>
      </x:c>
    </x:row>
    <x:row r="14" ht="23" customHeight="1">
      <x:c r="A14" s="4"/>
      <x:c r="B14" s="6" t="str">
        <x:v>Total revenue</x:v>
      </x:c>
      <x:c r="C14" s="96" t="n">
        <x:f>C12+C13</x:f>
        <x:v>1454.0750201612905</x:v>
      </x:c>
      <x:c r="D14" s="96" t="n">
        <x:f>D12+D13</x:f>
        <x:v>1774.8249355796368</x:v>
      </x:c>
      <x:c r="E14" s="96" t="n">
        <x:f>E12+E13</x:f>
        <x:v>2127.9639040221773</x:v>
      </x:c>
      <x:c r="F14" s="96" t="n">
        <x:f>F12+F13</x:f>
        <x:v>2506.046287543185</x:v>
      </x:c>
      <x:c r="G14" s="96" t="n">
        <x:f>G12+G13</x:f>
        <x:v>2907.527538335104</x:v>
      </x:c>
      <x:c r="H14" s="96" t="n">
        <x:f>H12+H13</x:f>
        <x:v>3329.78370225863</x:v>
      </x:c>
      <x:c r="I14" s="96" t="n">
        <x:f>I12+I13</x:f>
        <x:v>3764.744113430711</x:v>
      </x:c>
      <x:c r="J14" s="96" t="n">
        <x:f>J12+J13</x:f>
        <x:v>4202.614229508704</x:v>
      </x:c>
      <x:c r="K14" s="96" t="n">
        <x:f>K12+K13</x:f>
        <x:v>4637.20900670207</x:v>
      </x:c>
      <x:c r="L14" s="96" t="n">
        <x:f>L12+L13</x:f>
        <x:v>5063.207460442486</x:v>
      </x:c>
      <x:c r="M14" s="4"/>
      <x:c r="N14" s="6" t="str">
        <x:v>Funded debt</x:v>
      </x:c>
      <x:c r="O14" s="105" t="n">
        <x:f>'Assumptions'!$C$12</x:f>
        <x:v>0</x:v>
      </x:c>
    </x:row>
    <x:row r="15" ht="23" customHeight="1">
      <x:c r="A15" s="4"/>
      <x:c r="B15" s="6" t="str">
        <x:v>Revenue growth</x:v>
      </x:c>
      <x:c r="C15" s="128" t="n">
        <x:f>C14/'Assumptions'!$C$20-1</x:f>
        <x:v>0.23261794897639532</x:v>
      </x:c>
      <x:c r="D15" s="139" t="n">
        <x:f>D14/C14-1</x:f>
        <x:v>0.2205869098712443</x:v>
      </x:c>
      <x:c r="E15" s="139" t="n">
        <x:f>E14/D14-1</x:f>
        <x:v>0.19897115561271383</x:v>
      </x:c>
      <x:c r="F15" s="139" t="n">
        <x:f>F14/E14-1</x:f>
        <x:v>0.17767330677290816</x:v>
      </x:c>
      <x:c r="G15" s="139" t="n">
        <x:f>G14/F14-1</x:f>
        <x:v>0.16020504201680708</x:v>
      </x:c>
      <x:c r="H15" s="139" t="n">
        <x:f>H14/G14-1</x:f>
        <x:v>0.145228603463311</x:v>
      </x:c>
      <x:c r="I15" s="139" t="n">
        <x:f>I14/H14-1</x:f>
        <x:v>0.13062722689075645</x:v>
      </x:c>
      <x:c r="J15" s="139" t="n">
        <x:f>J14/I14-1</x:f>
        <x:v>0.1163080684596578</x:v>
      </x:c>
      <x:c r="K15" s="139" t="n">
        <x:f>K14/J14-1</x:f>
        <x:v>0.1034105805243446</x:v>
      </x:c>
      <x:c r="L15" s="139" t="n">
        <x:f>L14/K14-1</x:f>
        <x:v>0.09186526920066118</x:v>
      </x:c>
      <x:c r="M15" s="4"/>
      <x:c r="N15" s="6" t="str">
        <x:v>Equity value</x:v>
      </x:c>
      <x:c r="O15" s="105" t="n">
        <x:f>O12+O13-O14+'Assumptions'!$G$8</x:f>
        <x:v>3636.176734724525</x:v>
      </x:c>
    </x:row>
    <x:row r="16" ht="23" customHeight="1">
      <x:c r="A16" s="4"/>
      <x:c r="B16" s="6" t="str">
        <x:v>Restaurant-level profit</x:v>
      </x:c>
      <x:c r="C16" s="105" t="n">
        <x:f>C12*'Assumptions'!C37</x:f>
        <x:v>346.1861808</x:v>
      </x:c>
      <x:c r="D16" s="105" t="n">
        <x:f>D12*'Assumptions'!D37</x:f>
        <x:v>426.0715733349899</x:v>
      </x:c>
      <x:c r="E16" s="105" t="n">
        <x:f>E12*'Assumptions'!E37</x:f>
        <x:v>517.1803472335499</x:v>
      </x:c>
      <x:c r="F16" s="105" t="n">
        <x:f>F12*'Assumptions'!F37</x:f>
        <x:v>614.0414855589813</x:v>
      </x:c>
      <x:c r="G16" s="105" t="n">
        <x:f>G12*'Assumptions'!G37</x:f>
        <x:v>721.0668295071058</x:v>
      </x:c>
      <x:c r="H16" s="105" t="n">
        <x:f>H12*'Assumptions'!H37</x:f>
        <x:v>832.3926490254214</x:v>
      </x:c>
      <x:c r="I16" s="105" t="n">
        <x:f>I12*'Assumptions'!I37</x:f>
        <x:v>948.5950447729094</x:v>
      </x:c>
      <x:c r="J16" s="105" t="n">
        <x:f>J12*'Assumptions'!J37</x:f>
        <x:v>1063.0932954965217</x:v>
      </x:c>
      <x:c r="K16" s="105" t="n">
        <x:f>K12*'Assumptions'!K37</x:f>
        <x:v>1177.6285016700042</x:v>
      </x:c>
      <x:c r="L16" s="105" t="n">
        <x:f>L12*'Assumptions'!L37</x:f>
        <x:v>1290.8343627950492</x:v>
      </x:c>
      <x:c r="M16" s="4"/>
      <x:c r="N16" s="6" t="str">
        <x:v>Diluted shares</x:v>
      </x:c>
      <x:c r="O16" s="105" t="n">
        <x:f>'Assumptions'!$C$7</x:f>
        <x:v>118.44885599999999</x:v>
      </x:c>
    </x:row>
    <x:row r="17" ht="23" customHeight="1">
      <x:c r="A17" s="4"/>
      <x:c r="B17" s="6" t="str">
        <x:v>G&amp;A</x:v>
      </x:c>
      <x:c r="C17" s="105" t="n">
        <x:f>C14*'Assumptions'!C38</x:f>
        <x:v>152.6778771169355</x:v>
      </x:c>
      <x:c r="D17" s="105" t="n">
        <x:f>D14*'Assumptions'!D38</x:f>
        <x:v>177.4824935579637</x:v>
      </x:c>
      <x:c r="E17" s="105" t="n">
        <x:f>E14*'Assumptions'!E38</x:f>
        <x:v>202.15657088210685</x:v>
      </x:c>
      <x:c r="F17" s="105" t="n">
        <x:f>F14*'Assumptions'!F38</x:f>
        <x:v>228.05021216642982</x:v>
      </x:c>
      <x:c r="G17" s="105" t="n">
        <x:f>G14*'Assumptions'!G38</x:f>
        <x:v>255.86242337348915</x:v>
      </x:c>
      <x:c r="H17" s="105" t="n">
        <x:f>H14*'Assumptions'!H38</x:f>
        <x:v>279.70183098972495</x:v>
      </x:c>
      <x:c r="I17" s="105" t="n">
        <x:f>I14*'Assumptions'!I38</x:f>
        <x:v>301.17952907445687</x:v>
      </x:c>
      <x:c r="J17" s="105" t="n">
        <x:f>J14*'Assumptions'!J38</x:f>
        <x:v>319.3986814426615</x:v>
      </x:c>
      <x:c r="K17" s="105" t="n">
        <x:f>K14*'Assumptions'!K38</x:f>
        <x:v>333.879048482549</x:v>
      </x:c>
      <x:c r="L17" s="105" t="n">
        <x:f>L14*'Assumptions'!L38</x:f>
        <x:v>344.29810731008905</x:v>
      </x:c>
      <x:c r="M17" s="4"/>
      <x:c r="N17" s="6" t="str">
        <x:v>PGR value / share</x:v>
      </x:c>
      <x:c r="O17" s="141" t="n">
        <x:f>O15/O16</x:f>
        <x:v>30.69828496042651</x:v>
      </x:c>
    </x:row>
    <x:row r="18" ht="23" customHeight="1">
      <x:c r="A18" s="4"/>
      <x:c r="B18" s="6" t="str">
        <x:v>D&amp;A</x:v>
      </x:c>
      <x:c r="C18" s="105" t="n">
        <x:f>C14*'Assumptions'!C39</x:f>
        <x:v>91.6067262701613</x:v>
      </x:c>
      <x:c r="D18" s="105" t="n">
        <x:f>D14*'Assumptions'!D39</x:f>
        <x:v>106.48949613477821</x:v>
      </x:c>
      <x:c r="E18" s="105" t="n">
        <x:f>E14*'Assumptions'!E39</x:f>
        <x:v>123.4219064332863</x:v>
      </x:c>
      <x:c r="F18" s="105" t="n">
        <x:f>F14*'Assumptions'!F39</x:f>
        <x:v>140.33859210241835</x:v>
      </x:c>
      <x:c r="G18" s="105" t="n">
        <x:f>G14*'Assumptions'!G39</x:f>
        <x:v>157.00648707009563</x:v>
      </x:c>
      <x:c r="H18" s="105" t="n">
        <x:f>H14*'Assumptions'!H39</x:f>
        <x:v>173.14875251744874</x:v>
      </x:c>
      <x:c r="I18" s="105" t="n">
        <x:f>I14*'Assumptions'!I39</x:f>
        <x:v>188.23720567153555</x:v>
      </x:c>
      <x:c r="J18" s="105" t="n">
        <x:f>J14*'Assumptions'!J39</x:f>
        <x:v>201.7254830164178</x:v>
      </x:c>
      <x:c r="K18" s="105" t="n">
        <x:f>K14*'Assumptions'!K39</x:f>
        <x:v>213.31161430829522</x:v>
      </x:c>
      <x:c r="L18" s="105" t="n">
        <x:f>L14*'Assumptions'!L39</x:f>
        <x:v>227.84433571991187</x:v>
      </x:c>
      <x:c r="M18" s="4"/>
      <x:c r="N18" s="6" t="str">
        <x:v>Current price</x:v>
      </x:c>
      <x:c r="O18" s="143" t="n">
        <x:f>'Assumptions'!$C$6</x:f>
        <x:v>66.17</x:v>
      </x:c>
    </x:row>
    <x:row r="19" ht="23" customHeight="1">
      <x:c r="A19" s="4"/>
      <x:c r="B19" s="6" t="str">
        <x:v>Pre-opening</x:v>
      </x:c>
      <x:c r="C19" s="105" t="n">
        <x:f>C14*'Assumptions'!C40</x:f>
        <x:v>26.173350362903225</x:v>
      </x:c>
      <x:c r="D19" s="105" t="n">
        <x:f>D14*'Assumptions'!D40</x:f>
        <x:v>28.39719896927419</x:v>
      </x:c>
      <x:c r="E19" s="105" t="n">
        <x:f>E14*'Assumptions'!E40</x:f>
        <x:v>31.919458560332657</x:v>
      </x:c>
      <x:c r="F19" s="105" t="n">
        <x:f>F14*'Assumptions'!F40</x:f>
        <x:v>35.08464802560459</x:v>
      </x:c>
      <x:c r="G19" s="105" t="n">
        <x:f>G14*'Assumptions'!G40</x:f>
        <x:v>37.79785799835635</x:v>
      </x:c>
      <x:c r="H19" s="105" t="n">
        <x:f>H14*'Assumptions'!H40</x:f>
        <x:v>39.95740442710356</x:v>
      </x:c>
      <x:c r="I19" s="105" t="n">
        <x:f>I14*'Assumptions'!I40</x:f>
        <x:v>41.41218524773782</x:v>
      </x:c>
      <x:c r="J19" s="105" t="n">
        <x:f>J14*'Assumptions'!J40</x:f>
        <x:v>42.02614229508704</x:v>
      </x:c>
      <x:c r="K19" s="105" t="n">
        <x:f>K14*'Assumptions'!K40</x:f>
        <x:v>41.73488106031863</x:v>
      </x:c>
      <x:c r="L19" s="105" t="n">
        <x:f>L14*'Assumptions'!L40</x:f>
        <x:v>40.50565968353989</x:v>
      </x:c>
      <x:c r="M19" s="4"/>
      <x:c r="N19" s="6" t="str">
        <x:v>Upside / (downside)</x:v>
      </x:c>
      <x:c r="O19" s="139" t="n">
        <x:f>O17/O18-1</x:f>
        <x:v>-0.5360694429435318</x:v>
      </x:c>
    </x:row>
    <x:row r="20" ht="28" customHeight="1">
      <x:c r="A20" s="4"/>
      <x:c r="B20" s="7" t="str">
        <x:v>Noncash impairments / disposal losses</x:v>
      </x:c>
      <x:c r="C20" s="105" t="n">
        <x:f>C14*'Assumptions'!C41</x:f>
        <x:v>5.816300080645162</x:v>
      </x:c>
      <x:c r="D20" s="105" t="n">
        <x:f>D14*'Assumptions'!D41</x:f>
        <x:v>7.099299742318547</x:v>
      </x:c>
      <x:c r="E20" s="105" t="n">
        <x:f>E14*'Assumptions'!E41</x:f>
        <x:v>8.51185561608871</x:v>
      </x:c>
      <x:c r="F20" s="105" t="n">
        <x:f>F14*'Assumptions'!F41</x:f>
        <x:v>10.02418515017274</x:v>
      </x:c>
      <x:c r="G20" s="105" t="n">
        <x:f>G14*'Assumptions'!G41</x:f>
        <x:v>11.630110153340416</x:v>
      </x:c>
      <x:c r="H20" s="105" t="n">
        <x:f>H14*'Assumptions'!H41</x:f>
        <x:v>13.31913480903452</x:v>
      </x:c>
      <x:c r="I20" s="105" t="n">
        <x:f>I14*'Assumptions'!I41</x:f>
        <x:v>13.17660439700749</x:v>
      </x:c>
      <x:c r="J20" s="105" t="n">
        <x:f>J14*'Assumptions'!J41</x:f>
        <x:v>14.709149803280464</x:v>
      </x:c>
      <x:c r="K20" s="105" t="n">
        <x:f>K14*'Assumptions'!K41</x:f>
        <x:v>13.91162702010621</x:v>
      </x:c>
      <x:c r="L20" s="105" t="n">
        <x:f>L14*'Assumptions'!L41</x:f>
        <x:v>15.189622381327458</x:v>
      </x:c>
      <x:c r="M20" s="4"/>
      <x:c r="N20" s="6" t="str">
        <x:v>Terminal value / EV</x:v>
      </x:c>
      <x:c r="O20" s="139" t="n">
        <x:f>O11/O12</x:f>
        <x:v>0.7365371107817082</x:v>
      </x:c>
    </x:row>
    <x:row r="21" ht="23" customHeight="1">
      <x:c r="A21" s="4"/>
      <x:c r="B21" s="6" t="str">
        <x:v>EBIT</x:v>
      </x:c>
      <x:c r="C21" s="105" t="n">
        <x:f>C16+C13*'Assumptions'!$C$31-SUM(C17:C20)</x:f>
        <x:v>63.8333385443521</x:v>
      </x:c>
      <x:c r="D21" s="105" t="n">
        <x:f>D16+D13*'Assumptions'!$C$31-SUM(D17:D20)</x:f>
        <x:v>99.18363946860217</x:v>
      </x:c>
      <x:c r="E21" s="105" t="n">
        <x:f>E16+E13*'Assumptions'!$C$31-SUM(E17:E20)</x:f>
        <x:v>142.27485464209207</x:v>
      </x:c>
      <x:c r="F21" s="105" t="n">
        <x:f>F16+F13*'Assumptions'!$C$31-SUM(F17:F20)</x:f>
        <x:v>190.06761838427548</x:v>
      </x:c>
      <x:c r="G21" s="105" t="n">
        <x:f>G16+G13*'Assumptions'!$C$31-SUM(G17:G20)</x:f>
        <x:v>246.61537635765865</x:v>
      </x:c>
      <x:c r="H21" s="105" t="n">
        <x:f>H16+H13*'Assumptions'!$C$31-SUM(H17:H20)</x:f>
        <x:v>312.3457598397518</x:v>
      </x:c>
      <x:c r="I21" s="105" t="n">
        <x:f>I16+I13*'Assumptions'!$C$31-SUM(I17:I20)</x:f>
        <x:v>388.8514534504817</x:v>
      </x:c>
      <x:c r="J21" s="105" t="n">
        <x:f>J16+J13*'Assumptions'!$C$31-SUM(J17:J20)</x:f>
        <x:v>467.6653078412711</x:v>
      </x:c>
      <x:c r="K21" s="105" t="n">
        <x:f>K16+K13*'Assumptions'!$C$31-SUM(K17:K20)</x:f>
        <x:v>555.4060277011474</x:v>
      </x:c>
      <x:c r="L21" s="105" t="n">
        <x:f>L16+L13*'Assumptions'!$C$31-SUM(L17:L20)</x:f>
        <x:v>641.830498514997</x:v>
      </x:c>
      <x:c r="M21" s="4"/>
      <x:c r="N21" s="6" t="str">
        <x:v>Implied EV / EBITDA</x:v>
      </x:c>
      <x:c r="O21" s="145" t="n">
        <x:f>'Assumptions'!$C$23</x:f>
        <x:v>6.886946830369812</x:v>
      </x:c>
    </x:row>
    <x:row r="22" ht="23" customHeight="1">
      <x:c r="A22" s="4"/>
      <x:c r="B22" s="6" t="str">
        <x:v>EBIT margin</x:v>
      </x:c>
      <x:c r="C22" s="139" t="n">
        <x:f>C21/C14</x:f>
        <x:v>0.04389961842358829</x:v>
      </x:c>
      <x:c r="D22" s="139" t="n">
        <x:f>D21/D14</x:f>
        <x:v>0.055883618423588334</x:v>
      </x:c>
      <x:c r="E22" s="139" t="n">
        <x:f>E21/E14</x:f>
        <x:v>0.06685961842358831</x:v>
      </x:c>
      <x:c r="F22" s="139" t="n">
        <x:f>F21/F14</x:f>
        <x:v>0.07584361842358835</x:v>
      </x:c>
      <x:c r="G22" s="139" t="n">
        <x:f>G21/G14</x:f>
        <x:v>0.08481961842358834</x:v>
      </x:c>
      <x:c r="H22" s="139" t="n">
        <x:f>H21/H14</x:f>
        <x:v>0.09380361842358834</x:v>
      </x:c>
      <x:c r="I22" s="139" t="n">
        <x:f>I21/I14</x:f>
        <x:v>0.10328761842358836</x:v>
      </x:c>
      <x:c r="J22" s="139" t="n">
        <x:f>J21/J14</x:f>
        <x:v>0.1112796184235883</x:v>
      </x:c>
      <x:c r="K22" s="139" t="n">
        <x:f>K21/K14</x:f>
        <x:v>0.11977161842358834</x:v>
      </x:c>
      <x:c r="L22" s="139" t="n">
        <x:f>L21/L14</x:f>
        <x:v>0.12676361842358833</x:v>
      </x:c>
      <x:c r="M22" s="4"/>
      <x:c r="N22" s="6" t="str">
        <x:v>Equivalent terminal value</x:v>
      </x:c>
      <x:c r="O22" s="96" t="n">
        <x:f>L34*O21</x:f>
        <x:v>5989.404343086498</x:v>
      </x:c>
    </x:row>
    <x:row r="23" ht="23" customHeight="1">
      <x:c r="A23" s="4"/>
      <x:c r="B23" s="6" t="str">
        <x:v>Cash taxes</x:v>
      </x:c>
      <x:c r="C23" s="105" t="n">
        <x:f>MAX(C21+C20,0)*'Assumptions'!$C$13</x:f>
        <x:v>17.412409656249316</x:v>
      </x:c>
      <x:c r="D23" s="105" t="n">
        <x:f>MAX(D21+D20,0)*'Assumptions'!$C$13</x:f>
        <x:v>26.57073480273018</x:v>
      </x:c>
      <x:c r="E23" s="105" t="n">
        <x:f>MAX(E21+E20,0)*'Assumptions'!$C$13</x:f>
        <x:v>37.6966775645452</x:v>
      </x:c>
      <x:c r="F23" s="105" t="n">
        <x:f>MAX(F21+F20,0)*'Assumptions'!$C$13</x:f>
        <x:v>50.022950883612054</x:v>
      </x:c>
      <x:c r="G23" s="105" t="n">
        <x:f>MAX(G21+G20,0)*'Assumptions'!$C$13</x:f>
        <x:v>64.56137162774976</x:v>
      </x:c>
      <x:c r="H23" s="105" t="n">
        <x:f>MAX(H21+H20,0)*'Assumptions'!$C$13</x:f>
        <x:v>81.41622366219657</x:v>
      </x:c>
      <x:c r="I23" s="105" t="n">
        <x:f>MAX(I21+I20,0)*'Assumptions'!$C$13</x:f>
        <x:v>100.5070144618723</x:v>
      </x:c>
      <x:c r="J23" s="105" t="n">
        <x:f>MAX(J21+J20,0)*'Assumptions'!$C$13</x:f>
        <x:v>120.59361441113789</x:v>
      </x:c>
      <x:c r="K23" s="105" t="n">
        <x:f>MAX(K21+K20,0)*'Assumptions'!$C$13</x:f>
        <x:v>142.3294136803134</x:v>
      </x:c>
      <x:c r="L23" s="105" t="n">
        <x:f>MAX(L21+L20,0)*'Assumptions'!$C$13</x:f>
        <x:v>164.2550302240811</x:v>
      </x:c>
      <x:c r="M23" s="4"/>
      <x:c r="N23" s="6" t="str">
        <x:v>Equivalent value / share</x:v>
      </x:c>
      <x:c r="O23" s="143" t="n">
        <x:f>(O6+O22/(1+O8)^$L$36+O13-O14+'Assumptions'!$G$8)/O16</x:f>
        <x:v>30.69828496011488</x:v>
      </x:c>
    </x:row>
    <x:row r="24" ht="23" customHeight="1">
      <x:c r="A24" s="4"/>
      <x:c r="B24" s="6" t="str">
        <x:v>NOPAT</x:v>
      </x:c>
      <x:c r="C24" s="96" t="n">
        <x:f>C21-C23</x:f>
        <x:v>46.420928888102786</x:v>
      </x:c>
      <x:c r="D24" s="96" t="n">
        <x:f>D21-D23</x:f>
        <x:v>72.61290466587198</x:v>
      </x:c>
      <x:c r="E24" s="96" t="n">
        <x:f>E21-E23</x:f>
        <x:v>104.57817707754687</x:v>
      </x:c>
      <x:c r="F24" s="96" t="n">
        <x:f>F21-F23</x:f>
        <x:v>140.04466750066342</x:v>
      </x:c>
      <x:c r="G24" s="96" t="n">
        <x:f>G21-G23</x:f>
        <x:v>182.05400472990888</x:v>
      </x:c>
      <x:c r="H24" s="96" t="n">
        <x:f>H21-H23</x:f>
        <x:v>230.92953617755524</x:v>
      </x:c>
      <x:c r="I24" s="96" t="n">
        <x:f>I21-I23</x:f>
        <x:v>288.3444389886094</x:v>
      </x:c>
      <x:c r="J24" s="96" t="n">
        <x:f>J21-J23</x:f>
        <x:v>347.0716934301332</x:v>
      </x:c>
      <x:c r="K24" s="96" t="n">
        <x:f>K21-K23</x:f>
        <x:v>413.07661402083403</x:v>
      </x:c>
      <x:c r="L24" s="96" t="n">
        <x:f>L21-L23</x:f>
        <x:v>477.57546829091586</x:v>
      </x:c>
      <x:c r="M24" s="4"/>
      <x:c r="N24" s="6" t="str">
        <x:v>Terminal return assumption</x:v>
      </x:c>
      <x:c r="O24" s="113" t="n">
        <x:f>'Assumptions'!C75</x:f>
        <x:v>0.2</x:v>
      </x:c>
    </x:row>
    <x:row r="25" ht="23" customHeight="1">
      <x:c r="A25" s="4"/>
      <x:c r="B25" s="6" t="str">
        <x:v>Growth capex</x:v>
      </x:c>
      <x:c r="C25" s="105" t="n">
        <x:f>C7*'Assumptions'!C42</x:f>
        <x:v>136.8</x:v>
      </x:c>
      <x:c r="D25" s="105" t="n">
        <x:f>D7*'Assumptions'!D42</x:f>
        <x:v>152.02800000000002</x:v>
      </x:c>
      <x:c r="E25" s="105" t="n">
        <x:f>E7*'Assumptions'!E42</x:f>
        <x:v>164.22732000000002</x:v>
      </x:c>
      <x:c r="F25" s="105" t="n">
        <x:f>F7*'Assumptions'!F42</x:f>
        <x:v>173.08795680000003</x:v>
      </x:c>
      <x:c r="G25" s="105" t="n">
        <x:f>G7*'Assumptions'!G42</x:f>
        <x:v>182.33242722000003</x:v>
      </x:c>
      <x:c r="H25" s="105" t="n">
        <x:f>H7*'Assumptions'!H42</x:f>
        <x:v>187.80240003660003</x:v>
      </x:c>
      <x:c r="I25" s="105" t="n">
        <x:f>I7*'Assumptions'!I42</x:f>
        <x:v>189.13788377019367</x:v>
      </x:c>
      <x:c r="J25" s="105" t="n">
        <x:f>J7*'Assumptions'!J42</x:f>
        <x:v>185.9569284522404</x:v>
      </x:c>
      <x:c r="K25" s="105" t="n">
        <x:f>K7*'Assumptions'!K42</x:f>
        <x:v>177.85451942682135</x:v>
      </x:c>
      <x:c r="L25" s="105" t="n">
        <x:f>L7*'Assumptions'!L42</x:f>
        <x:v>164.40142116248487</x:v>
      </x:c>
      <x:c r="M25" s="4"/>
      <x:c r="N25" s="6" t="str">
        <x:v>Terminal reinvestment rate</x:v>
      </x:c>
      <x:c r="O25" s="147" t="n">
        <x:f>O7/O24</x:f>
        <x:v>0.15</x:v>
      </x:c>
    </x:row>
    <x:row r="26" ht="23" customHeight="1">
      <x:c r="A26" s="4"/>
      <x:c r="B26" s="6" t="str">
        <x:v>Maintenance capex</x:v>
      </x:c>
      <x:c r="C26" s="105" t="n">
        <x:f>C14*'Assumptions'!C43</x:f>
        <x:v>21.811125302419356</x:v>
      </x:c>
      <x:c r="D26" s="105" t="n">
        <x:f>D14*'Assumptions'!D43</x:f>
        <x:v>26.622374033694552</x:v>
      </x:c>
      <x:c r="E26" s="105" t="n">
        <x:f>E14*'Assumptions'!E43</x:f>
        <x:v>31.919458560332657</x:v>
      </x:c>
      <x:c r="F26" s="105" t="n">
        <x:f>F14*'Assumptions'!F43</x:f>
        <x:v>37.59069431314777</x:v>
      </x:c>
      <x:c r="G26" s="105" t="n">
        <x:f>G14*'Assumptions'!G43</x:f>
        <x:v>43.61291307502656</x:v>
      </x:c>
      <x:c r="H26" s="105" t="n">
        <x:f>H14*'Assumptions'!H43</x:f>
        <x:v>49.94675553387945</x:v>
      </x:c>
      <x:c r="I26" s="105" t="n">
        <x:f>I14*'Assumptions'!I43</x:f>
        <x:v>56.471161701460666</x:v>
      </x:c>
      <x:c r="J26" s="105" t="n">
        <x:f>J14*'Assumptions'!J43</x:f>
        <x:v>63.039213442630555</x:v>
      </x:c>
      <x:c r="K26" s="105" t="n">
        <x:f>K14*'Assumptions'!K43</x:f>
        <x:v>69.55813510053105</x:v>
      </x:c>
      <x:c r="L26" s="105" t="n">
        <x:f>L14*'Assumptions'!L43</x:f>
        <x:v>75.9481119066373</x:v>
      </x:c>
      <x:c r="M26" s="4"/>
      <x:c r="N26" s="6" t="str">
        <x:v>FY2036 terminal NOPAT</x:v>
      </x:c>
      <x:c r="O26" s="96" t="n">
        <x:f>L24*(1+O7)</x:f>
        <x:v>491.90273233964336</x:v>
      </x:c>
    </x:row>
    <x:row r="27" ht="23" customHeight="1">
      <x:c r="A27" s="4"/>
      <x:c r="B27" s="6" t="str">
        <x:v>Infrastructure capex</x:v>
      </x:c>
      <x:c r="C27" s="105" t="n">
        <x:f>'Assumptions'!C44</x:f>
        <x:v>15</x:v>
      </x:c>
      <x:c r="D27" s="105" t="n">
        <x:f>'Assumptions'!D44</x:f>
        <x:v>15</x:v>
      </x:c>
      <x:c r="E27" s="105" t="n">
        <x:f>'Assumptions'!E44</x:f>
        <x:v>15</x:v>
      </x:c>
      <x:c r="F27" s="105" t="n">
        <x:f>'Assumptions'!F44</x:f>
        <x:v>15</x:v>
      </x:c>
      <x:c r="G27" s="105" t="n">
        <x:f>'Assumptions'!G44</x:f>
        <x:v>15</x:v>
      </x:c>
      <x:c r="H27" s="105" t="n">
        <x:f>'Assumptions'!H44</x:f>
        <x:v>15</x:v>
      </x:c>
      <x:c r="I27" s="105" t="n">
        <x:f>'Assumptions'!I44</x:f>
        <x:v>15</x:v>
      </x:c>
      <x:c r="J27" s="105" t="n">
        <x:f>'Assumptions'!J44</x:f>
        <x:v>15</x:v>
      </x:c>
      <x:c r="K27" s="105" t="n">
        <x:f>'Assumptions'!K44</x:f>
        <x:v>15</x:v>
      </x:c>
      <x:c r="L27" s="105" t="n">
        <x:f>'Assumptions'!L44</x:f>
        <x:v>15</x:v>
      </x:c>
      <x:c r="M27" s="4"/>
      <x:c r="N27" s="6" t="str">
        <x:v>FY2036 terminal FCFF</x:v>
      </x:c>
      <x:c r="O27" s="96" t="n">
        <x:f>O26*(1-O25)</x:f>
        <x:v>418.11732248869686</x:v>
      </x:c>
    </x:row>
    <x:row r="28" ht="23" customHeight="1">
      <x:c r="A28" s="4"/>
      <x:c r="B28" s="6" t="str">
        <x:v>Total capex</x:v>
      </x:c>
      <x:c r="C28" s="96" t="n">
        <x:f>SUM(C25:C27)</x:f>
        <x:v>173.61112530241937</x:v>
      </x:c>
      <x:c r="D28" s="96" t="n">
        <x:f>SUM(D25:D27)</x:f>
        <x:v>193.65037403369456</x:v>
      </x:c>
      <x:c r="E28" s="96" t="n">
        <x:f>SUM(E25:E27)</x:f>
        <x:v>211.14677856033268</x:v>
      </x:c>
      <x:c r="F28" s="96" t="n">
        <x:f>SUM(F25:F27)</x:f>
        <x:v>225.6786511131478</x:v>
      </x:c>
      <x:c r="G28" s="96" t="n">
        <x:f>SUM(G25:G27)</x:f>
        <x:v>240.9453402950266</x:v>
      </x:c>
      <x:c r="H28" s="96" t="n">
        <x:f>SUM(H25:H27)</x:f>
        <x:v>252.74915557047947</x:v>
      </x:c>
      <x:c r="I28" s="96" t="n">
        <x:f>SUM(I25:I27)</x:f>
        <x:v>260.6090454716543</x:v>
      </x:c>
      <x:c r="J28" s="96" t="n">
        <x:f>SUM(J25:J27)</x:f>
        <x:v>263.99614189487096</x:v>
      </x:c>
      <x:c r="K28" s="96" t="n">
        <x:f>SUM(K25:K27)</x:f>
        <x:v>262.4126545273524</x:v>
      </x:c>
      <x:c r="L28" s="96" t="n">
        <x:f>SUM(L25:L27)</x:f>
        <x:v>255.34953306912217</x:v>
      </x:c>
      <x:c r="M28" s="4"/>
      <x:c r="N28" s="4"/>
      <x:c r="O28" s="4"/>
    </x:row>
    <x:row r="29" ht="23" customHeight="1">
      <x:c r="A29" s="4"/>
      <x:c r="B29" s="6" t="str">
        <x:v>Operating NWC</x:v>
      </x:c>
      <x:c r="C29" s="105" t="n">
        <x:f>C14*'Assumptions'!$C$16</x:f>
        <x:v>-14.540750201612905</x:v>
      </x:c>
      <x:c r="D29" s="105" t="n">
        <x:f>D14*'Assumptions'!$C$16</x:f>
        <x:v>-17.748249355796368</x:v>
      </x:c>
      <x:c r="E29" s="105" t="n">
        <x:f>E14*'Assumptions'!$C$16</x:f>
        <x:v>-21.279639040221774</x:v>
      </x:c>
      <x:c r="F29" s="105" t="n">
        <x:f>F14*'Assumptions'!$C$16</x:f>
        <x:v>-25.06046287543185</x:v>
      </x:c>
      <x:c r="G29" s="105" t="n">
        <x:f>G14*'Assumptions'!$C$16</x:f>
        <x:v>-29.07527538335104</x:v>
      </x:c>
      <x:c r="H29" s="105" t="n">
        <x:f>H14*'Assumptions'!$C$16</x:f>
        <x:v>-33.2978370225863</x:v>
      </x:c>
      <x:c r="I29" s="105" t="n">
        <x:f>I14*'Assumptions'!$C$16</x:f>
        <x:v>-37.64744113430711</x:v>
      </x:c>
      <x:c r="J29" s="105" t="n">
        <x:f>J14*'Assumptions'!$C$16</x:f>
        <x:v>-42.02614229508704</x:v>
      </x:c>
      <x:c r="K29" s="105" t="n">
        <x:f>K14*'Assumptions'!$C$16</x:f>
        <x:v>-46.3720900670207</x:v>
      </x:c>
      <x:c r="L29" s="105" t="n">
        <x:f>L14*'Assumptions'!$C$16</x:f>
        <x:v>-50.632074604424865</x:v>
      </x:c>
      <x:c r="M29" s="4"/>
      <x:c r="N29" s="4"/>
      <x:c r="O29" s="4"/>
    </x:row>
    <x:row r="30" ht="23" customHeight="1">
      <x:c r="A30" s="4"/>
      <x:c r="B30" s="6" t="str">
        <x:v>Change in NWC</x:v>
      </x:c>
      <x:c r="C30" s="105" t="n">
        <x:f>C29-'Assumptions'!$C$17</x:f>
        <x:v>-2.744110201612905</x:v>
      </x:c>
      <x:c r="D30" s="96" t="n">
        <x:f>D29-C29</x:f>
        <x:v>-3.2074991541834628</x:v>
      </x:c>
      <x:c r="E30" s="96" t="n">
        <x:f>E29-D29</x:f>
        <x:v>-3.531389684425406</x:v>
      </x:c>
      <x:c r="F30" s="96" t="n">
        <x:f>F29-E29</x:f>
        <x:v>-3.780823835210075</x:v>
      </x:c>
      <x:c r="G30" s="96" t="n">
        <x:f>G29-F29</x:f>
        <x:v>-4.014812507919192</x:v>
      </x:c>
      <x:c r="H30" s="96" t="n">
        <x:f>H29-G29</x:f>
        <x:v>-4.222561639235259</x:v>
      </x:c>
      <x:c r="I30" s="96" t="n">
        <x:f>I29-H29</x:f>
        <x:v>-4.349604111720808</x:v>
      </x:c>
      <x:c r="J30" s="96" t="n">
        <x:f>J29-I29</x:f>
        <x:v>-4.378701160779933</x:v>
      </x:c>
      <x:c r="K30" s="96" t="n">
        <x:f>K29-J29</x:f>
        <x:v>-4.345947771933659</x:v>
      </x:c>
      <x:c r="L30" s="96" t="n">
        <x:f>L29-K29</x:f>
        <x:v>-4.259984537404165</x:v>
      </x:c>
      <x:c r="M30" s="4"/>
      <x:c r="N30" s="4"/>
      <x:c r="O30" s="4"/>
    </x:row>
    <x:row r="31" ht="23" customHeight="1">
      <x:c r="A31" s="4"/>
      <x:c r="B31" s="6" t="str">
        <x:v>FCFF</x:v>
      </x:c>
      <x:c r="C31" s="96" t="n">
        <x:f>C24+C18+C20-C28-C30</x:f>
        <x:v>-27.023059861897217</x:v>
      </x:c>
      <x:c r="D31" s="96" t="n">
        <x:f>D24+D18+D20-D28-D30</x:f>
        <x:v>-4.241174336542375</x:v>
      </x:c>
      <x:c r="E31" s="96" t="n">
        <x:f>E24+E18+E20-E28-E30</x:f>
        <x:v>28.89655025101463</x:v>
      </x:c>
      <x:c r="F31" s="96" t="n">
        <x:f>F24+F18+F20-F28-F30</x:f>
        <x:v>68.50961747531682</x:v>
      </x:c>
      <x:c r="G31" s="96" t="n">
        <x:f>G24+G18+G20-G28-G30</x:f>
        <x:v>113.76007416623752</x:v>
      </x:c>
      <x:c r="H31" s="96" t="n">
        <x:f>H24+H18+H20-H28-H30</x:f>
        <x:v>168.87082957279424</x:v>
      </x:c>
      <x:c r="I31" s="96" t="n">
        <x:f>I24+I18+I20-I28-I30</x:f>
        <x:v>233.49880769721892</x:v>
      </x:c>
      <x:c r="J31" s="96" t="n">
        <x:f>J24+J18+J20-J28-J30</x:f>
        <x:v>303.8888855157404</x:v>
      </x:c>
      <x:c r="K31" s="96" t="n">
        <x:f>K24+K18+K20-K28-K30</x:f>
        <x:v>382.23314859381674</x:v>
      </x:c>
      <x:c r="L31" s="96" t="n">
        <x:f>L24+L18+L20-L28-L30</x:f>
        <x:v>469.5198778604372</x:v>
      </x:c>
      <x:c r="M31" s="4"/>
      <x:c r="N31" s="4"/>
      <x:c r="O31" s="4"/>
    </x:row>
    <x:row r="32" ht="23" customHeight="1">
      <x:c r="A32" s="4"/>
      <x:c r="B32" s="6" t="str">
        <x:v>Discount factor</x:v>
      </x:c>
      <x:c r="C32" s="149" t="n">
        <x:f>1/(1+'Assumptions'!$C$21)^C$36</x:f>
        <x:v>0.9631621563930701</x:v>
      </x:c>
      <x:c r="D32" s="149" t="n">
        <x:f>1/(1+'Assumptions'!$C$21)^D$36</x:f>
        <x:v>0.8759819192551634</x:v>
      </x:c>
      <x:c r="E32" s="149" t="n">
        <x:f>1/(1+'Assumptions'!$C$21)^E$36</x:f>
        <x:v>0.7952404899605247</x:v>
      </x:c>
      <x:c r="F32" s="149" t="n">
        <x:f>1/(1+'Assumptions'!$C$21)^F$36</x:f>
        <x:v>0.7232596152591623</x:v>
      </x:c>
      <x:c r="G32" s="149" t="n">
        <x:f>1/(1+'Assumptions'!$C$21)^G$36</x:f>
        <x:v>0.6577940606253562</x:v>
      </x:c>
      <x:c r="H32" s="149" t="n">
        <x:f>1/(1+'Assumptions'!$C$21)^H$36</x:f>
        <x:v>0.5982540944705587</x:v>
      </x:c>
      <x:c r="I32" s="149" t="n">
        <x:f>1/(1+'Assumptions'!$C$21)^I$36</x:f>
        <x:v>0.5441033645249543</x:v>
      </x:c>
      <x:c r="J32" s="149" t="n">
        <x:f>1/(1+'Assumptions'!$C$21)^J$36</x:f>
        <x:v>0.49485406622978756</x:v>
      </x:c>
      <x:c r="K32" s="149" t="n">
        <x:f>1/(1+'Assumptions'!$C$21)^K$36</x:f>
        <x:v>0.44924213780821665</x:v>
      </x:c>
      <x:c r="L32" s="149" t="n">
        <x:f>1/(1+'Assumptions'!$C$21)^L$36</x:f>
        <x:v>0.40857916548678636</x:v>
      </x:c>
      <x:c r="M32" s="4"/>
      <x:c r="N32" s="4"/>
      <x:c r="O32" s="4"/>
    </x:row>
    <x:row r="33" ht="23" customHeight="1">
      <x:c r="A33" s="4"/>
      <x:c r="B33" s="6" t="str">
        <x:v>Present value of FCFF</x:v>
      </x:c>
      <x:c r="C33" s="96" t="n">
        <x:f>C31*C32*$C$37</x:f>
        <x:v>-10.296628460673208</x:v>
      </x:c>
      <x:c r="D33" s="96" t="n">
        <x:f>D31*D32</x:f>
        <x:v>-3.7151920352201344</x:v>
      </x:c>
      <x:c r="E33" s="96" t="n">
        <x:f>E31*E32</x:f>
        <x:v>22.979706779785797</x:v>
      </x:c>
      <x:c r="F33" s="96" t="n">
        <x:f>F31*F32</x:f>
        <x:v>49.55023957675002</x:v>
      </x:c>
      <x:c r="G33" s="96" t="n">
        <x:f>G31*G32</x:f>
        <x:v>74.83070112285105</x:v>
      </x:c>
      <x:c r="H33" s="96" t="n">
        <x:f>H31*H32</x:f>
        <x:v>101.02766522856406</x:v>
      </x:c>
      <x:c r="I33" s="96" t="n">
        <x:f>I31*I32</x:f>
        <x:v>127.04748688062212</x:v>
      </x:c>
      <x:c r="J33" s="96" t="n">
        <x:f>J31*J32</x:f>
        <x:v>150.38065067950254</x:v>
      </x:c>
      <x:c r="K33" s="96" t="n">
        <x:f>K31*K32</x:f>
        <x:v>171.71523681545196</x:v>
      </x:c>
      <x:c r="L33" s="96" t="n">
        <x:f>L31*L32</x:f>
        <x:v>191.83603987567528</x:v>
      </x:c>
      <x:c r="M33" s="4"/>
      <x:c r="N33" s="4"/>
      <x:c r="O33" s="4"/>
    </x:row>
    <x:row r="34" ht="23" customHeight="1">
      <x:c r="A34" s="4"/>
      <x:c r="B34" s="6" t="str">
        <x:v>EBITDA</x:v>
      </x:c>
      <x:c r="C34" s="96" t="n">
        <x:f>C21+C18</x:f>
        <x:v>155.4400648145134</x:v>
      </x:c>
      <x:c r="D34" s="96" t="n">
        <x:f>D21+D18</x:f>
        <x:v>205.6731356033804</x:v>
      </x:c>
      <x:c r="E34" s="96" t="n">
        <x:f>E21+E18</x:f>
        <x:v>265.6967610753784</x:v>
      </x:c>
      <x:c r="F34" s="96" t="n">
        <x:f>F21+F18</x:f>
        <x:v>330.4062104866938</x:v>
      </x:c>
      <x:c r="G34" s="96" t="n">
        <x:f>G21+G18</x:f>
        <x:v>403.6218634277543</x:v>
      </x:c>
      <x:c r="H34" s="96" t="n">
        <x:f>H21+H18</x:f>
        <x:v>485.4945123572005</x:v>
      </x:c>
      <x:c r="I34" s="96" t="n">
        <x:f>I21+I18</x:f>
        <x:v>577.0886591220172</x:v>
      </x:c>
      <x:c r="J34" s="96" t="n">
        <x:f>J21+J18</x:f>
        <x:v>669.3907908576889</x:v>
      </x:c>
      <x:c r="K34" s="96" t="n">
        <x:f>K21+K18</x:f>
        <x:v>768.7176420094427</x:v>
      </x:c>
      <x:c r="L34" s="96" t="n">
        <x:f>L21+L18</x:f>
        <x:v>869.6748342349089</x:v>
      </x:c>
      <x:c r="M34" s="4"/>
      <x:c r="N34" s="4"/>
      <x:c r="O34" s="4"/>
    </x:row>
    <x:row r="35" ht="23" customHeight="1">
      <x:c r="A35" s="4"/>
      <x:c r="B35" s="6" t="str">
        <x:v>EBITDA margin</x:v>
      </x:c>
      <x:c r="C35" s="139" t="n">
        <x:f>C34/C14</x:f>
        <x:v>0.10689961842358828</x:v>
      </x:c>
      <x:c r="D35" s="139" t="n">
        <x:f>D34/D14</x:f>
        <x:v>0.11588361842358834</x:v>
      </x:c>
      <x:c r="E35" s="139" t="n">
        <x:f>E34/E14</x:f>
        <x:v>0.12485961842358832</x:v>
      </x:c>
      <x:c r="F35" s="139" t="n">
        <x:f>F34/F14</x:f>
        <x:v>0.13184361842358833</x:v>
      </x:c>
      <x:c r="G35" s="139" t="n">
        <x:f>G34/G14</x:f>
        <x:v>0.13881961842358836</x:v>
      </x:c>
      <x:c r="H35" s="139" t="n">
        <x:f>H34/H14</x:f>
        <x:v>0.14580361842358833</x:v>
      </x:c>
      <x:c r="I35" s="139" t="n">
        <x:f>I34/I14</x:f>
        <x:v>0.15328761842358835</x:v>
      </x:c>
      <x:c r="J35" s="139" t="n">
        <x:f>J34/J14</x:f>
        <x:v>0.15927961842358832</x:v>
      </x:c>
      <x:c r="K35" s="139" t="n">
        <x:f>K34/K14</x:f>
        <x:v>0.16577161842358834</x:v>
      </x:c>
      <x:c r="L35" s="139" t="n">
        <x:f>L34/L14</x:f>
        <x:v>0.17176361842358834</x:v>
      </x:c>
      <x:c r="M35" s="4"/>
      <x:c r="N35" s="4"/>
      <x:c r="O35" s="4"/>
    </x:row>
    <x:row r="36" ht="23" customHeight="1">
      <x:c r="A36" s="4"/>
      <x:c r="B36" s="6" t="str">
        <x:v>Discount period (ACT/365 years)</x:v>
      </x:c>
      <x:c r="C36" s="151" t="n">
        <x:f>(DATE(VALUE(MID(C$5,3,4)),12,31)-WEEKDAY(DATE(VALUE(MID(C$5,3,4)),12,31),1)+1-'Assumptions'!$C$5)/365</x:f>
        <x:v>0.39452055555555554</x:v>
      </x:c>
      <x:c r="D36" s="151" t="n">
        <x:f>(DATE(VALUE(MID(D$5,3,4)),12,31)-WEEKDAY(DATE(VALUE(MID(D$5,3,4)),12,31),1)+1-'Assumptions'!$C$5)/365</x:f>
        <x:v>1.3917808333333332</x:v>
      </x:c>
      <x:c r="E36" s="151" t="n">
        <x:f>(DATE(VALUE(MID(E$5,3,4)),12,31)-WEEKDAY(DATE(VALUE(MID(E$5,3,4)),12,31),1)+1-'Assumptions'!$C$5)/365</x:f>
        <x:v>2.4082191782407407</x:v>
      </x:c>
      <x:c r="F36" s="151" t="n">
        <x:f>(DATE(VALUE(MID(F$5,3,4)),12,31)-WEEKDAY(DATE(VALUE(MID(F$5,3,4)),12,31),1)+1-'Assumptions'!$C$5)/365</x:f>
        <x:v>3.4054794560185186</x:v>
      </x:c>
      <x:c r="G36" s="151" t="n">
        <x:f>(DATE(VALUE(MID(G$5,3,4)),12,31)-WEEKDAY(DATE(VALUE(MID(G$5,3,4)),12,31),1)+1-'Assumptions'!$C$5)/365</x:f>
        <x:v>4.402739733796296</x:v>
      </x:c>
      <x:c r="H36" s="151" t="n">
        <x:f>(DATE(VALUE(MID(H$5,3,4)),12,31)-WEEKDAY(DATE(VALUE(MID(H$5,3,4)),12,31),1)+1-'Assumptions'!$C$5)/365</x:f>
        <x:v>5.4</x:v>
      </x:c>
      <x:c r="I36" s="151" t="n">
        <x:f>(DATE(VALUE(MID(I$5,3,4)),12,31)-WEEKDAY(DATE(VALUE(MID(I$5,3,4)),12,31),1)+1-'Assumptions'!$C$5)/365</x:f>
        <x:v>6.397260277777778</x:v>
      </x:c>
      <x:c r="J36" s="151" t="n">
        <x:f>(DATE(VALUE(MID(J$5,3,4)),12,31)-WEEKDAY(DATE(VALUE(MID(J$5,3,4)),12,31),1)+1-'Assumptions'!$C$5)/365</x:f>
        <x:v>7.394520555555555</x:v>
      </x:c>
      <x:c r="K36" s="151" t="n">
        <x:f>(DATE(VALUE(MID(K$5,3,4)),12,31)-WEEKDAY(DATE(VALUE(MID(K$5,3,4)),12,31),1)+1-'Assumptions'!$C$5)/365</x:f>
        <x:v>8.410958912037037</x:v>
      </x:c>
      <x:c r="L36" s="151" t="n">
        <x:f>(DATE(VALUE(MID(L$5,3,4)),12,31)-WEEKDAY(DATE(VALUE(MID(L$5,3,4)),12,31),1)+1-'Assumptions'!$C$5)/365</x:f>
        <x:v>9.40821917824074</x:v>
      </x:c>
      <x:c r="M36" s="4"/>
      <x:c r="N36" s="4"/>
      <x:c r="O36" s="4"/>
    </x:row>
    <x:row r="37" ht="23" customHeight="1">
      <x:c r="A37" s="4"/>
      <x:c r="B37" s="6" t="str">
        <x:v>FY2026 remaining-year share</x:v>
      </x:c>
      <x:c r="C37" s="113" t="n">
        <x:f>MAX(0,MIN(1,(DATE(VALUE(MID(C$5,3,4)),12,31)-WEEKDAY(DATE(VALUE(MID(C$5,3,4)),12,31),1)+1-'Assumptions'!$C$5)/364))</x:f>
        <x:v>0.39560439814814813</x:v>
      </x:c>
      <x:c r="D37" s="4"/>
      <x:c r="E37" s="4"/>
      <x:c r="F37" s="4"/>
      <x:c r="G37" s="4"/>
      <x:c r="H37" s="4"/>
      <x:c r="I37" s="4"/>
      <x:c r="J37" s="4"/>
      <x:c r="K37" s="4"/>
      <x:c r="L37" s="4"/>
      <x:c r="M37" s="4"/>
      <x:c r="N37" s="4"/>
      <x:c r="O37" s="4"/>
    </x:row>
    <x:row r="38" ht="23" customHeight="1">
      <x:c r="A38" s="4"/>
      <x:c r="B38" s="4"/>
      <x:c r="C38" s="4"/>
      <x:c r="D38" s="4"/>
      <x:c r="E38" s="4"/>
      <x:c r="F38" s="4"/>
      <x:c r="G38" s="4"/>
      <x:c r="H38" s="4"/>
      <x:c r="I38" s="4"/>
      <x:c r="J38" s="4"/>
      <x:c r="K38" s="4"/>
      <x:c r="L38" s="4"/>
      <x:c r="M38" s="4"/>
      <x:c r="N38" s="4"/>
      <x:c r="O38" s="4"/>
    </x:row>
    <x:row r="39" ht="23" customHeight="1">
      <x:c r="A39" s="4"/>
      <x:c r="B39" s="4"/>
      <x:c r="C39" s="4"/>
      <x:c r="D39" s="4"/>
      <x:c r="E39" s="4"/>
      <x:c r="F39" s="4"/>
      <x:c r="G39" s="4"/>
      <x:c r="H39" s="4"/>
      <x:c r="I39" s="4"/>
      <x:c r="J39" s="4"/>
      <x:c r="K39" s="4"/>
      <x:c r="L39" s="4"/>
      <x:c r="M39" s="4"/>
      <x:c r="N39" s="4"/>
      <x:c r="O39" s="4"/>
    </x:row>
    <x:row r="40" ht="25" customHeight="1">
      <x:c r="A40" s="4"/>
      <x:c r="B40" s="57" t="str">
        <x:v>Downside Case</x:v>
      </x:c>
      <x:c r="C40" s="58"/>
      <x:c r="D40" s="58"/>
      <x:c r="E40" s="58"/>
      <x:c r="F40" s="58"/>
      <x:c r="G40" s="58"/>
      <x:c r="H40" s="58"/>
      <x:c r="I40" s="58"/>
      <x:c r="J40" s="58"/>
      <x:c r="K40" s="58"/>
      <x:c r="L40" s="58"/>
      <x:c r="M40" s="4"/>
      <x:c r="N40" s="6" t="str">
        <x:v>Downside Case Valuation</x:v>
      </x:c>
      <x:c r="O40" s="4"/>
    </x:row>
    <x:row r="41" ht="34" customHeight="1">
      <x:c r="A41" s="4"/>
      <x:c r="B41" s="40" t="str">
        <x:v>Metric</x:v>
      </x:c>
      <x:c r="C41" s="40" t="str">
        <x:v>FY2026E</x:v>
      </x:c>
      <x:c r="D41" s="40" t="str">
        <x:v>FY2027E</x:v>
      </x:c>
      <x:c r="E41" s="40" t="str">
        <x:v>FY2028E</x:v>
      </x:c>
      <x:c r="F41" s="40" t="str">
        <x:v>FY2029E</x:v>
      </x:c>
      <x:c r="G41" s="40" t="str">
        <x:v>FY2030E</x:v>
      </x:c>
      <x:c r="H41" s="40" t="str">
        <x:v>FY2031E</x:v>
      </x:c>
      <x:c r="I41" s="40" t="str">
        <x:v>FY2032E</x:v>
      </x:c>
      <x:c r="J41" s="40" t="str">
        <x:v>FY2033E</x:v>
      </x:c>
      <x:c r="K41" s="40" t="str">
        <x:v>FY2034E</x:v>
      </x:c>
      <x:c r="L41" s="40" t="str">
        <x:v>FY2035E</x:v>
      </x:c>
      <x:c r="M41" s="42"/>
      <x:c r="N41" s="42"/>
      <x:c r="O41" s="42"/>
    </x:row>
    <x:row r="42" ht="23" customHeight="1">
      <x:c r="A42" s="4"/>
      <x:c r="B42" s="6" t="str">
        <x:v>Beginning restaurants</x:v>
      </x:c>
      <x:c r="C42" s="105" t="n">
        <x:f>'Assumptions'!$C$18</x:f>
        <x:v>439</x:v>
      </x:c>
      <x:c r="D42" s="96" t="n">
        <x:f>C44</x:f>
        <x:v>514</x:v>
      </x:c>
      <x:c r="E42" s="96" t="n">
        <x:f>D44</x:f>
        <x:v>584</x:v>
      </x:c>
      <x:c r="F42" s="96" t="n">
        <x:f>E44</x:f>
        <x:v>652</x:v>
      </x:c>
      <x:c r="G42" s="96" t="n">
        <x:f>F44</x:f>
        <x:v>717</x:v>
      </x:c>
      <x:c r="H42" s="96" t="n">
        <x:f>G44</x:f>
        <x:v>777</x:v>
      </x:c>
      <x:c r="I42" s="96" t="n">
        <x:f>H44</x:f>
        <x:v>832</x:v>
      </x:c>
      <x:c r="J42" s="96" t="n">
        <x:f>I44</x:f>
        <x:v>882</x:v>
      </x:c>
      <x:c r="K42" s="96" t="n">
        <x:f>J44</x:f>
        <x:v>927</x:v>
      </x:c>
      <x:c r="L42" s="96" t="n">
        <x:f>K44</x:f>
        <x:v>967</x:v>
      </x:c>
      <x:c r="M42" s="4"/>
      <x:c r="N42" s="6" t="str">
        <x:v>PV explicit FCFF</x:v>
      </x:c>
      <x:c r="O42" s="96" t="n">
        <x:f>SUM(C69:L69)</x:f>
        <x:v>486.93986456492974</x:v>
      </x:c>
    </x:row>
    <x:row r="43" ht="23" customHeight="1">
      <x:c r="A43" s="4"/>
      <x:c r="B43" s="6" t="str">
        <x:v>New openings</x:v>
      </x:c>
      <x:c r="C43" s="105" t="n">
        <x:f>'Assumptions'!C49</x:f>
        <x:v>75</x:v>
      </x:c>
      <x:c r="D43" s="105" t="n">
        <x:f>'Assumptions'!D49</x:f>
        <x:v>70</x:v>
      </x:c>
      <x:c r="E43" s="105" t="n">
        <x:f>'Assumptions'!E49</x:f>
        <x:v>68</x:v>
      </x:c>
      <x:c r="F43" s="105" t="n">
        <x:f>'Assumptions'!F49</x:f>
        <x:v>65</x:v>
      </x:c>
      <x:c r="G43" s="105" t="n">
        <x:f>'Assumptions'!G49</x:f>
        <x:v>60</x:v>
      </x:c>
      <x:c r="H43" s="105" t="n">
        <x:f>'Assumptions'!H49</x:f>
        <x:v>55</x:v>
      </x:c>
      <x:c r="I43" s="105" t="n">
        <x:f>'Assumptions'!I49</x:f>
        <x:v>50</x:v>
      </x:c>
      <x:c r="J43" s="105" t="n">
        <x:f>'Assumptions'!J49</x:f>
        <x:v>45</x:v>
      </x:c>
      <x:c r="K43" s="105" t="n">
        <x:f>'Assumptions'!K49</x:f>
        <x:v>40</x:v>
      </x:c>
      <x:c r="L43" s="105" t="n">
        <x:f>'Assumptions'!L49</x:f>
        <x:v>35</x:v>
      </x:c>
      <x:c r="M43" s="4"/>
      <x:c r="N43" s="6" t="str">
        <x:v>Terminal growth</x:v>
      </x:c>
      <x:c r="O43" s="128" t="n">
        <x:f>'Assumptions'!$C$25</x:f>
        <x:v>0.025</x:v>
      </x:c>
    </x:row>
    <x:row r="44" ht="23" customHeight="1">
      <x:c r="A44" s="4"/>
      <x:c r="B44" s="6" t="str">
        <x:v>Ending restaurants</x:v>
      </x:c>
      <x:c r="C44" s="96" t="n">
        <x:f>C42+C43</x:f>
        <x:v>514</x:v>
      </x:c>
      <x:c r="D44" s="96" t="n">
        <x:f>D42+D43</x:f>
        <x:v>584</x:v>
      </x:c>
      <x:c r="E44" s="96" t="n">
        <x:f>E42+E43</x:f>
        <x:v>652</x:v>
      </x:c>
      <x:c r="F44" s="96" t="n">
        <x:f>F42+F43</x:f>
        <x:v>717</x:v>
      </x:c>
      <x:c r="G44" s="96" t="n">
        <x:f>G42+G43</x:f>
        <x:v>777</x:v>
      </x:c>
      <x:c r="H44" s="96" t="n">
        <x:f>H42+H43</x:f>
        <x:v>832</x:v>
      </x:c>
      <x:c r="I44" s="96" t="n">
        <x:f>I42+I43</x:f>
        <x:v>882</x:v>
      </x:c>
      <x:c r="J44" s="96" t="n">
        <x:f>J42+J43</x:f>
        <x:v>927</x:v>
      </x:c>
      <x:c r="K44" s="96" t="n">
        <x:f>K42+K43</x:f>
        <x:v>967</x:v>
      </x:c>
      <x:c r="L44" s="96" t="n">
        <x:f>L42+L43</x:f>
        <x:v>1002</x:v>
      </x:c>
      <x:c r="M44" s="4"/>
      <x:c r="N44" s="6" t="str">
        <x:v>WACC</x:v>
      </x:c>
      <x:c r="O44" s="128" t="n">
        <x:f>'Assumptions'!$C$24</x:f>
        <x:v>0.1073095</x:v>
      </x:c>
    </x:row>
    <x:row r="45" ht="23" customHeight="1">
      <x:c r="A45" s="4"/>
      <x:c r="B45" s="6" t="str">
        <x:v>AUV ($mm)</x:v>
      </x:c>
      <x:c r="C45" s="105" t="n">
        <x:f>'Assumptions'!$C$19*(1+'Assumptions'!C50)</x:f>
        <x:v>3.06603</x:v>
      </x:c>
      <x:c r="D45" s="105" t="n">
        <x:f>C45*(1+'Assumptions'!D50)</x:f>
        <x:v>3.1580109000000003</x:v>
      </x:c>
      <x:c r="E45" s="105" t="n">
        <x:f>D45*(1+'Assumptions'!E50)</x:f>
        <x:v>3.2369611725</x:v>
      </x:c>
      <x:c r="F45" s="105" t="n">
        <x:f>E45*(1+'Assumptions'!F50)</x:f>
        <x:v>3.3081743182950003</x:v>
      </x:c>
      <x:c r="G45" s="105" t="n">
        <x:f>F45*(1+'Assumptions'!G50)</x:f>
        <x:v>3.3743378046609003</x:v>
      </x:c>
      <x:c r="H45" s="105" t="n">
        <x:f>G45*(1+'Assumptions'!H50)</x:f>
        <x:v>3.4418245607541182</x:v>
      </x:c>
      <x:c r="I45" s="105" t="n">
        <x:f>H45*(1+'Assumptions'!I50)</x:f>
        <x:v>3.5106610519692008</x:v>
      </x:c>
      <x:c r="J45" s="105" t="n">
        <x:f>I45*(1+'Assumptions'!J50)</x:f>
        <x:v>3.5808742730085847</x:v>
      </x:c>
      <x:c r="K45" s="105" t="n">
        <x:f>J45*(1+'Assumptions'!K50)</x:f>
        <x:v>3.6524917584687566</x:v>
      </x:c>
      <x:c r="L45" s="105" t="n">
        <x:f>K45*(1+'Assumptions'!L50)</x:f>
        <x:v>3.7255415936381318</x:v>
      </x:c>
      <x:c r="M45" s="4"/>
      <x:c r="N45" s="6" t="str">
        <x:v>Final explicit-year FCFF</x:v>
      </x:c>
      <x:c r="O45" s="96" t="n">
        <x:f>L67</x:f>
        <x:v>284.9517459208865</x:v>
      </x:c>
    </x:row>
    <x:row r="46" ht="28" customHeight="1">
      <x:c r="A46" s="4"/>
      <x:c r="B46" s="7" t="str">
        <x:v>Existing-store revenue, cohort adjusted</x:v>
      </x:c>
      <x:c r="C46" s="105" t="n">
        <x:f>(C42-'Historical'!$G$38*(1-'Assumptions'!$G$13))*C45</x:f>
        <x:v>1323.911754</x:v>
      </x:c>
      <x:c r="D46" s="105" t="n">
        <x:f>(D42-C43*(1-'Assumptions'!$G$13))*D45</x:f>
        <x:v>1599.53252085</x:v>
      </x:c>
      <x:c r="E46" s="105" t="n">
        <x:f>(E42-D43*(1-'Assumptions'!$G$13))*E45</x:f>
        <x:v>1867.7265965325</x:v>
      </x:c>
      <x:c r="F46" s="105" t="n">
        <x:f>(F42-E43*(1-'Assumptions'!$G$13))*F45</x:f>
        <x:v>2134.4340701639344</x:v>
      </x:c>
      <x:c r="G46" s="105" t="n">
        <x:f>(G42-F43*(1-'Assumptions'!$G$13))*G45</x:f>
        <x:v>2397.4670102115697</x:v>
      </x:c>
      <x:c r="H46" s="105" t="n">
        <x:f>(H42-G43*(1-'Assumptions'!$G$13))*H45</x:f>
        <x:v>2653.6467363414254</x:v>
      </x:c>
      <x:c r="I46" s="105" t="n">
        <x:f>(I42-H43*(1-'Assumptions'!$G$13))*I45</x:f>
        <x:v>2901.5613594525444</x:v>
      </x:c>
      <x:c r="J46" s="105" t="n">
        <x:f>(J42-I43*(1-'Assumptions'!$G$13))*J45</x:f>
        <x:v>3140.4267374285287</x:v>
      </x:c>
      <x:c r="K46" s="105" t="n">
        <x:f>(K42-J43*(1-'Assumptions'!$G$13))*K45</x:f>
        <x:v>3369.423647187428</x:v>
      </x:c>
      <x:c r="L46" s="105" t="n">
        <x:f>(L42-K43*(1-'Assumptions'!$G$13))*L45</x:f>
        <x:v>3587.696554673521</x:v>
      </x:c>
      <x:c r="M46" s="4"/>
      <x:c r="N46" s="6" t="str">
        <x:v>Terminal value</x:v>
      </x:c>
      <x:c r="O46" s="96" t="n">
        <x:f>IF(O44&gt;O43,O63/(O44-O43),"INPUT REQUIRED: WACC must exceed growth")</x:f>
        <x:v>2408.680376498868</x:v>
      </x:c>
    </x:row>
    <x:row r="47" ht="23" customHeight="1">
      <x:c r="A47" s="4"/>
      <x:c r="B47" s="6" t="str">
        <x:v>New-unit revenue</x:v>
      </x:c>
      <x:c r="C47" s="105" t="n">
        <x:f>C43*C45*'Assumptions'!$C$15</x:f>
        <x:v>103.4785125</x:v>
      </x:c>
      <x:c r="D47" s="105" t="n">
        <x:f>D43*D45*'Assumptions'!$C$15</x:f>
        <x:v>99.47734335000001</x:v>
      </x:c>
      <x:c r="E47" s="105" t="n">
        <x:f>E43*E45*'Assumptions'!$C$15</x:f>
        <x:v>99.0510118785</x:v>
      </x:c>
      <x:c r="F47" s="105" t="n">
        <x:f>F43*F45*'Assumptions'!$C$15</x:f>
        <x:v>96.76409881012876</x:v>
      </x:c>
      <x:c r="G47" s="105" t="n">
        <x:f>G43*G45*'Assumptions'!$C$15</x:f>
        <x:v>91.10712072584431</x:v>
      </x:c>
      <x:c r="H47" s="105" t="n">
        <x:f>H43*H45*'Assumptions'!$C$15</x:f>
        <x:v>85.18515787866443</x:v>
      </x:c>
      <x:c r="I47" s="105" t="n">
        <x:f>I43*I45*'Assumptions'!$C$15</x:f>
        <x:v>78.98987366930702</x:v>
      </x:c>
      <x:c r="J47" s="105" t="n">
        <x:f>J43*J45*'Assumptions'!$C$15</x:f>
        <x:v>72.51270402842384</x:v>
      </x:c>
      <x:c r="K47" s="105" t="n">
        <x:f>K43*K45*'Assumptions'!$C$15</x:f>
        <x:v>65.74485165243762</x:v>
      </x:c>
      <x:c r="L47" s="105" t="n">
        <x:f>L43*L45*'Assumptions'!$C$15</x:f>
        <x:v>58.677280099800576</x:v>
      </x:c>
      <x:c r="M47" s="4"/>
      <x:c r="N47" s="6" t="str">
        <x:v>PV terminal value</x:v>
      </x:c>
      <x:c r="O47" s="96" t="n">
        <x:f>O46*L68</x:f>
        <x:v>923.180188683528</x:v>
      </x:c>
    </x:row>
    <x:row r="48" ht="23" customHeight="1">
      <x:c r="A48" s="4"/>
      <x:c r="B48" s="6" t="str">
        <x:v>CAVA revenue</x:v>
      </x:c>
      <x:c r="C48" s="96" t="n">
        <x:f>C46+C47</x:f>
        <x:v>1427.3902665</x:v>
      </x:c>
      <x:c r="D48" s="96" t="n">
        <x:f>D46+D47</x:f>
        <x:v>1699.0098642</x:v>
      </x:c>
      <x:c r="E48" s="96" t="n">
        <x:f>E46+E47</x:f>
        <x:v>1966.777608411</x:v>
      </x:c>
      <x:c r="F48" s="96" t="n">
        <x:f>F46+F47</x:f>
        <x:v>2231.1981689740633</x:v>
      </x:c>
      <x:c r="G48" s="96" t="n">
        <x:f>G46+G47</x:f>
        <x:v>2488.574130937414</x:v>
      </x:c>
      <x:c r="H48" s="96" t="n">
        <x:f>H46+H47</x:f>
        <x:v>2738.83189422009</x:v>
      </x:c>
      <x:c r="I48" s="96" t="n">
        <x:f>I46+I47</x:f>
        <x:v>2980.5512331218515</x:v>
      </x:c>
      <x:c r="J48" s="96" t="n">
        <x:f>J46+J47</x:f>
        <x:v>3212.9394414569524</x:v>
      </x:c>
      <x:c r="K48" s="96" t="n">
        <x:f>K46+K47</x:f>
        <x:v>3435.1684988398656</x:v>
      </x:c>
      <x:c r="L48" s="96" t="n">
        <x:f>L46+L47</x:f>
        <x:v>3646.3738347733215</x:v>
      </x:c>
      <x:c r="M48" s="4"/>
      <x:c r="N48" s="6" t="str">
        <x:v>Enterprise value</x:v>
      </x:c>
      <x:c r="O48" s="96" t="n">
        <x:f>O42+O47</x:f>
        <x:v>1410.1200532484577</x:v>
      </x:c>
    </x:row>
    <x:row r="49" ht="23" customHeight="1">
      <x:c r="A49" s="4"/>
      <x:c r="B49" s="6" t="str">
        <x:v>Other revenue</x:v>
      </x:c>
      <x:c r="C49" s="105" t="n">
        <x:f>C48*'Assumptions'!$C$14/(1-'Assumptions'!$C$14)</x:f>
        <x:v>11.511211826612904</x:v>
      </x:c>
      <x:c r="D49" s="105" t="n">
        <x:f>D48*'Assumptions'!$C$14/(1-'Assumptions'!$C$14)</x:f>
        <x:v>13.701692453225807</x:v>
      </x:c>
      <x:c r="E49" s="105" t="n">
        <x:f>E48*'Assumptions'!$C$14/(1-'Assumptions'!$C$14)</x:f>
        <x:v>15.861109745250001</x:v>
      </x:c>
      <x:c r="F49" s="105" t="n">
        <x:f>F48*'Assumptions'!$C$14/(1-'Assumptions'!$C$14)</x:f>
        <x:v>17.993533620758573</x:v>
      </x:c>
      <x:c r="G49" s="105" t="n">
        <x:f>G48*'Assumptions'!$C$14/(1-'Assumptions'!$C$14)</x:f>
        <x:v>20.06914621723721</x:v>
      </x:c>
      <x:c r="H49" s="105" t="n">
        <x:f>H48*'Assumptions'!$C$14/(1-'Assumptions'!$C$14)</x:f>
        <x:v>22.087353985645887</x:v>
      </x:c>
      <x:c r="I49" s="105" t="n">
        <x:f>I48*'Assumptions'!$C$14/(1-'Assumptions'!$C$14)</x:f>
        <x:v>24.03670349291816</x:v>
      </x:c>
      <x:c r="J49" s="105" t="n">
        <x:f>J48*'Assumptions'!$C$14/(1-'Assumptions'!$C$14)</x:f>
        <x:v>25.910801947233487</x:v>
      </x:c>
      <x:c r="K49" s="105" t="n">
        <x:f>K48*'Assumptions'!$C$14/(1-'Assumptions'!$C$14)</x:f>
        <x:v>27.702971764837628</x:v>
      </x:c>
      <x:c r="L49" s="105" t="n">
        <x:f>L48*'Assumptions'!$C$14/(1-'Assumptions'!$C$14)</x:f>
        <x:v>29.40624060301066</x:v>
      </x:c>
      <x:c r="M49" s="4"/>
      <x:c r="N49" s="6" t="str">
        <x:v>Excess cash</x:v>
      </x:c>
      <x:c r="O49" s="105" t="n">
        <x:f>'Assumptions'!$C$11</x:f>
        <x:v>302.96000000000004</x:v>
      </x:c>
    </x:row>
    <x:row r="50" ht="23" customHeight="1">
      <x:c r="A50" s="4"/>
      <x:c r="B50" s="6" t="str">
        <x:v>Total revenue</x:v>
      </x:c>
      <x:c r="C50" s="96" t="n">
        <x:f>C48+C49</x:f>
        <x:v>1438.901478326613</x:v>
      </x:c>
      <x:c r="D50" s="96" t="n">
        <x:f>D48+D49</x:f>
        <x:v>1712.711556653226</x:v>
      </x:c>
      <x:c r="E50" s="96" t="n">
        <x:f>E48+E49</x:f>
        <x:v>1982.63871815625</x:v>
      </x:c>
      <x:c r="F50" s="96" t="n">
        <x:f>F48+F49</x:f>
        <x:v>2249.191702594822</x:v>
      </x:c>
      <x:c r="G50" s="96" t="n">
        <x:f>G48+G49</x:f>
        <x:v>2508.643277154651</x:v>
      </x:c>
      <x:c r="H50" s="96" t="n">
        <x:f>H48+H49</x:f>
        <x:v>2760.9192482057356</x:v>
      </x:c>
      <x:c r="I50" s="96" t="n">
        <x:f>I48+I49</x:f>
        <x:v>3004.5879366147697</x:v>
      </x:c>
      <x:c r="J50" s="96" t="n">
        <x:f>J48+J49</x:f>
        <x:v>3238.8502434041857</x:v>
      </x:c>
      <x:c r="K50" s="96" t="n">
        <x:f>K48+K49</x:f>
        <x:v>3462.871470604703</x:v>
      </x:c>
      <x:c r="L50" s="96" t="n">
        <x:f>L48+L49</x:f>
        <x:v>3675.780075376332</x:v>
      </x:c>
      <x:c r="M50" s="4"/>
      <x:c r="N50" s="6" t="str">
        <x:v>Funded debt</x:v>
      </x:c>
      <x:c r="O50" s="105" t="n">
        <x:f>'Assumptions'!$C$12</x:f>
        <x:v>0</x:v>
      </x:c>
    </x:row>
    <x:row r="51" ht="23" customHeight="1">
      <x:c r="A51" s="4"/>
      <x:c r="B51" s="6" t="str">
        <x:v>Revenue growth</x:v>
      </x:c>
      <x:c r="C51" s="128" t="n">
        <x:f>C50/'Assumptions'!$C$20-1</x:f>
        <x:v>0.2197553526483922</x:v>
      </x:c>
      <x:c r="D51" s="139" t="n">
        <x:f>D50/C50-1</x:f>
        <x:v>0.19029105359252507</x:v>
      </x:c>
      <x:c r="E51" s="139" t="n">
        <x:f>E50/D50-1</x:f>
        <x:v>0.15760223048327138</x:v>
      </x:c>
      <x:c r="F51" s="139" t="n">
        <x:f>F50/E50-1</x:f>
        <x:v>0.13444354838709716</x:v>
      </x:c>
      <x:c r="G51" s="139" t="n">
        <x:f>G50/F50-1</x:f>
        <x:v>0.11535325079694547</x:v>
      </x:c>
      <x:c r="H51" s="139" t="n">
        <x:f>H50/G50-1</x:f>
        <x:v>0.1005627118644068</x:v>
      </x:c>
      <x:c r="I51" s="139" t="n">
        <x:f>I50/H50-1</x:f>
        <x:v>0.08825636192271435</x:v>
      </x:c>
      <x:c r="J51" s="139" t="n">
        <x:f>J50/I50-1</x:f>
        <x:v>0.07796819787985854</x:v>
      </x:c>
      <x:c r="K51" s="139" t="n">
        <x:f>K50/J50-1</x:f>
        <x:v>0.06916689885762062</x:v>
      </x:c>
      <x:c r="L51" s="139" t="n">
        <x:f>L50/K50-1</x:f>
        <x:v>0.061483253588516806</x:v>
      </x:c>
      <x:c r="M51" s="4"/>
      <x:c r="N51" s="6" t="str">
        <x:v>Equity value</x:v>
      </x:c>
      <x:c r="O51" s="105" t="n">
        <x:f>O48+O49-O50+'Assumptions'!$G$8</x:f>
        <x:v>1723.7950532484576</x:v>
      </x:c>
    </x:row>
    <x:row r="52" ht="23" customHeight="1">
      <x:c r="A52" s="4"/>
      <x:c r="B52" s="6" t="str">
        <x:v>Restaurant-level profit</x:v>
      </x:c>
      <x:c r="C52" s="105" t="n">
        <x:f>C48*'Assumptions'!C51</x:f>
        <x:v>338.2914931605</x:v>
      </x:c>
      <x:c r="D52" s="105" t="n">
        <x:f>D48*'Assumptions'!D51</x:f>
        <x:v>399.267318087</x:v>
      </x:c>
      <x:c r="E52" s="105" t="n">
        <x:f>E48*'Assumptions'!E51</x:f>
        <x:v>466.126293193407</x:v>
      </x:c>
      <x:c r="F52" s="105" t="n">
        <x:f>F48*'Assumptions'!F51</x:f>
        <x:v>533.2563623848012</x:v>
      </x:c>
      <x:c r="G52" s="105" t="n">
        <x:f>G48*'Assumptions'!G51</x:f>
        <x:v>597.2577914249794</x:v>
      </x:c>
      <x:c r="H52" s="105" t="n">
        <x:f>H48*'Assumptions'!H51</x:f>
        <x:v>660.0584865070416</x:v>
      </x:c>
      <x:c r="I52" s="105" t="n">
        <x:f>I48*'Assumptions'!I51</x:f>
        <x:v>721.293398415488</x:v>
      </x:c>
      <x:c r="J52" s="105" t="n">
        <x:f>J48*'Assumptions'!J51</x:f>
        <x:v>780.7442842740394</x:v>
      </x:c>
      <x:c r="K52" s="105" t="n">
        <x:f>K48*'Assumptions'!K51</x:f>
        <x:v>838.1811137169271</x:v>
      </x:c>
      <x:c r="L52" s="105" t="n">
        <x:f>L48*'Assumptions'!L51</x:f>
        <x:v>893.3615895194638</x:v>
      </x:c>
      <x:c r="M52" s="4"/>
      <x:c r="N52" s="6" t="str">
        <x:v>Diluted shares</x:v>
      </x:c>
      <x:c r="O52" s="105" t="n">
        <x:f>'Assumptions'!$C$7</x:f>
        <x:v>118.44885599999999</x:v>
      </x:c>
    </x:row>
    <x:row r="53" ht="23" customHeight="1">
      <x:c r="A53" s="4"/>
      <x:c r="B53" s="6" t="str">
        <x:v>G&amp;A</x:v>
      </x:c>
      <x:c r="C53" s="105" t="n">
        <x:f>C50*'Assumptions'!C52</x:f>
        <x:v>158.27916261592742</x:v>
      </x:c>
      <x:c r="D53" s="105" t="n">
        <x:f>D50*'Assumptions'!D52</x:f>
        <x:v>183.26013656189517</x:v>
      </x:c>
      <x:c r="E53" s="105" t="n">
        <x:f>E50*'Assumptions'!E52</x:f>
        <x:v>206.19442668825</x:v>
      </x:c>
      <x:c r="F53" s="105" t="n">
        <x:f>F50*'Assumptions'!F52</x:f>
        <x:v>224.9191702594822</x:v>
      </x:c>
      <x:c r="G53" s="105" t="n">
        <x:f>G50*'Assumptions'!G52</x:f>
        <x:v>243.33839788400115</x:v>
      </x:c>
      <x:c r="H53" s="105" t="n">
        <x:f>H50*'Assumptions'!H52</x:f>
        <x:v>259.52640933133915</x:v>
      </x:c>
      <x:c r="I53" s="105" t="n">
        <x:f>I50*'Assumptions'!I52</x:f>
        <x:v>273.417502231944</x:v>
      </x:c>
      <x:c r="J53" s="105" t="n">
        <x:f>J50*'Assumptions'!J52</x:f>
        <x:v>285.0188214195683</x:v>
      </x:c>
      <x:c r="K53" s="105" t="n">
        <x:f>K50*'Assumptions'!K52</x:f>
        <x:v>294.3440750013998</x:v>
      </x:c>
      <x:c r="L53" s="105" t="n">
        <x:f>L50*'Assumptions'!L52</x:f>
        <x:v>301.41396618085923</x:v>
      </x:c>
      <x:c r="M53" s="4"/>
      <x:c r="N53" s="6" t="str">
        <x:v>PGR value / share</x:v>
      </x:c>
      <x:c r="O53" s="141" t="n">
        <x:f>O51/O52</x:f>
        <x:v>14.553074731666955</x:v>
      </x:c>
    </x:row>
    <x:row r="54" ht="23" customHeight="1">
      <x:c r="A54" s="4"/>
      <x:c r="B54" s="6" t="str">
        <x:v>D&amp;A</x:v>
      </x:c>
      <x:c r="C54" s="105" t="n">
        <x:f>C50*'Assumptions'!C53</x:f>
        <x:v>93.52859609122984</x:v>
      </x:c>
      <x:c r="D54" s="105" t="n">
        <x:f>D50*'Assumptions'!D53</x:f>
        <x:v>109.61353962580645</x:v>
      </x:c>
      <x:c r="E54" s="105" t="n">
        <x:f>E50*'Assumptions'!E53</x:f>
        <x:v>124.90623924384374</x:v>
      </x:c>
      <x:c r="F54" s="105" t="n">
        <x:f>F50*'Assumptions'!F53</x:f>
        <x:v>139.44988556087895</x:v>
      </x:c>
      <x:c r="G54" s="105" t="n">
        <x:f>G50*'Assumptions'!G53</x:f>
        <x:v>153.02723990643372</x:v>
      </x:c>
      <x:c r="H54" s="105" t="n">
        <x:f>H50*'Assumptions'!H53</x:f>
        <x:v>165.65515489234414</x:v>
      </x:c>
      <x:c r="I54" s="105" t="n">
        <x:f>I50*'Assumptions'!I53</x:f>
        <x:v>177.2706882602714</x:v>
      </x:c>
      <x:c r="J54" s="105" t="n">
        <x:f>J50*'Assumptions'!J53</x:f>
        <x:v>187.85331411744278</x:v>
      </x:c>
      <x:c r="K54" s="105" t="n">
        <x:f>K50*'Assumptions'!K53</x:f>
        <x:v>197.38367382446808</x:v>
      </x:c>
      <x:c r="L54" s="105" t="n">
        <x:f>L50*'Assumptions'!L53</x:f>
        <x:v>205.8436842210746</x:v>
      </x:c>
      <x:c r="M54" s="4"/>
      <x:c r="N54" s="6" t="str">
        <x:v>Current price</x:v>
      </x:c>
      <x:c r="O54" s="143" t="n">
        <x:f>'Assumptions'!$C$6</x:f>
        <x:v>66.17</x:v>
      </x:c>
    </x:row>
    <x:row r="55" ht="23" customHeight="1">
      <x:c r="A55" s="4"/>
      <x:c r="B55" s="6" t="str">
        <x:v>Pre-opening</x:v>
      </x:c>
      <x:c r="C55" s="105" t="n">
        <x:f>C50*'Assumptions'!C54</x:f>
        <x:v>27.339128088205644</x:v>
      </x:c>
      <x:c r="D55" s="105" t="n">
        <x:f>D50*'Assumptions'!D54</x:f>
        <x:v>30.828808019758064</x:v>
      </x:c>
      <x:c r="E55" s="105" t="n">
        <x:f>E50*'Assumptions'!E54</x:f>
        <x:v>33.704858208656255</x:v>
      </x:c>
      <x:c r="F55" s="105" t="n">
        <x:f>F50*'Assumptions'!F54</x:f>
        <x:v>35.98706724151715</x:v>
      </x:c>
      <x:c r="G55" s="105" t="n">
        <x:f>G50*'Assumptions'!G54</x:f>
        <x:v>37.62964915731976</x:v>
      </x:c>
      <x:c r="H55" s="105" t="n">
        <x:f>H50*'Assumptions'!H54</x:f>
        <x:v>38.6528694748803</x:v>
      </x:c>
      <x:c r="I55" s="105" t="n">
        <x:f>I50*'Assumptions'!I54</x:f>
        <x:v>39.059643175992</x:v>
      </x:c>
      <x:c r="J55" s="105" t="n">
        <x:f>J50*'Assumptions'!J54</x:f>
        <x:v>38.86620292085023</x:v>
      </x:c>
      <x:c r="K55" s="105" t="n">
        <x:f>K50*'Assumptions'!K54</x:f>
        <x:v>38.09158617665173</x:v>
      </x:c>
      <x:c r="L55" s="105" t="n">
        <x:f>L50*'Assumptions'!L54</x:f>
        <x:v>36.75780075376332</x:v>
      </x:c>
      <x:c r="M55" s="4"/>
      <x:c r="N55" s="6" t="str">
        <x:v>Upside / (downside)</x:v>
      </x:c>
      <x:c r="O55" s="139" t="n">
        <x:f>O53/O54-1</x:f>
        <x:v>-0.7800653660017084</x:v>
      </x:c>
    </x:row>
    <x:row r="56" ht="28" customHeight="1">
      <x:c r="A56" s="4"/>
      <x:c r="B56" s="7" t="str">
        <x:v>Noncash impairments / disposal losses</x:v>
      </x:c>
      <x:c r="C56" s="105" t="n">
        <x:f>C50*'Assumptions'!C55</x:f>
        <x:v>7.194507391633065</x:v>
      </x:c>
      <x:c r="D56" s="105" t="n">
        <x:f>D50*'Assumptions'!D55</x:f>
        <x:v>8.56355778326613</x:v>
      </x:c>
      <x:c r="E56" s="105" t="n">
        <x:f>E50*'Assumptions'!E55</x:f>
        <x:v>9.91319359078125</x:v>
      </x:c>
      <x:c r="F56" s="105" t="n">
        <x:f>F50*'Assumptions'!F55</x:f>
        <x:v>11.24595851297411</x:v>
      </x:c>
      <x:c r="G56" s="105" t="n">
        <x:f>G50*'Assumptions'!G55</x:f>
        <x:v>12.543216385773256</x:v>
      </x:c>
      <x:c r="H56" s="105" t="n">
        <x:f>H50*'Assumptions'!H55</x:f>
        <x:v>13.804596241028678</x:v>
      </x:c>
      <x:c r="I56" s="105" t="n">
        <x:f>I50*'Assumptions'!I55</x:f>
        <x:v>15.022939683073849</x:v>
      </x:c>
      <x:c r="J56" s="105" t="n">
        <x:f>J50*'Assumptions'!J55</x:f>
        <x:v>16.194251217020927</x:v>
      </x:c>
      <x:c r="K56" s="105" t="n">
        <x:f>K50*'Assumptions'!K55</x:f>
        <x:v>17.314357353023517</x:v>
      </x:c>
      <x:c r="L56" s="105" t="n">
        <x:f>L50*'Assumptions'!L55</x:f>
        <x:v>18.37890037688166</x:v>
      </x:c>
      <x:c r="M56" s="4"/>
      <x:c r="N56" s="6" t="str">
        <x:v>Terminal value / EV</x:v>
      </x:c>
      <x:c r="O56" s="139" t="n">
        <x:f>O47/O48</x:f>
        <x:v>0.6546819801312812</x:v>
      </x:c>
    </x:row>
    <x:row r="57" ht="23" customHeight="1">
      <x:c r="A57" s="4"/>
      <x:c r="B57" s="6" t="str">
        <x:v>EBIT</x:v>
      </x:c>
      <x:c r="C57" s="105" t="n">
        <x:f>C52+C49*'Assumptions'!$C$31-SUM(C53:C56)</x:f>
        <x:v>45.93494174323598</x:v>
      </x:c>
      <x:c r="D57" s="105" t="n">
        <x:f>D52+D49*'Assumptions'!$C$31-SUM(D53:D56)</x:f>
        <x:v>59.84148825913371</x:v>
      </x:c>
      <x:c r="E57" s="105" t="n">
        <x:f>E52+E49*'Assumptions'!$C$31-SUM(E53:E56)</x:f>
        <x:v>83.11938909181487</x:v>
      </x:c>
      <x:c r="F57" s="105" t="n">
        <x:f>F52+F49*'Assumptions'!$C$31-SUM(F53:F56)</x:f>
        <x:v>112.25180125460338</x:v>
      </x:c>
      <x:c r="G57" s="105" t="n">
        <x:f>G52+G49*'Assumptions'!$C$31-SUM(G53:G56)</x:f>
        <x:v>140.23220195384516</x:v>
      </x:c>
      <x:c r="H57" s="105" t="n">
        <x:f>H52+H49*'Assumptions'!$C$31-SUM(H53:H56)</x:f>
        <x:v>170.8777606082898</x:v>
      </x:c>
      <x:c r="I57" s="105" t="n">
        <x:f>I52+I49*'Assumptions'!$C$31-SUM(I53:I56)</x:f>
        <x:v>203.96230100927357</x:v>
      </x:c>
      <x:c r="J57" s="105" t="n">
        <x:f>J52+J49*'Assumptions'!$C$31-SUM(J53:J56)</x:f>
        <x:v>239.27206471287388</x:v>
      </x:c>
      <x:c r="K57" s="105" t="n">
        <x:f>K52+K49*'Assumptions'!$C$31-SUM(K53:K56)</x:f>
        <x:v>276.57129726418646</x:v>
      </x:c>
      <x:c r="L57" s="105" t="n">
        <x:f>L52+L49*'Assumptions'!$C$31-SUM(L53:L56)</x:f>
        <x:v>315.6010746808407</x:v>
      </x:c>
      <x:c r="M57" s="4"/>
      <x:c r="N57" s="6" t="str">
        <x:v>Implied EV / EBITDA</x:v>
      </x:c>
      <x:c r="O57" s="145" t="n">
        <x:f>'Assumptions'!$C$28</x:f>
        <x:v>4.619243621455107</x:v>
      </x:c>
    </x:row>
    <x:row r="58" ht="23" customHeight="1">
      <x:c r="A58" s="4"/>
      <x:c r="B58" s="6" t="str">
        <x:v>EBIT margin</x:v>
      </x:c>
      <x:c r="C58" s="139" t="n">
        <x:f>C57/C50</x:f>
        <x:v>0.03192361842358835</x:v>
      </x:c>
      <x:c r="D58" s="139" t="n">
        <x:f>D57/D50</x:f>
        <x:v>0.03493961842358834</x:v>
      </x:c>
      <x:c r="E58" s="139" t="n">
        <x:f>E57/E50</x:f>
        <x:v>0.041923618423588306</x:v>
      </x:c>
      <x:c r="F58" s="139" t="n">
        <x:f>F57/F50</x:f>
        <x:v>0.049907618423588346</x:v>
      </x:c>
      <x:c r="G58" s="139" t="n">
        <x:f>G57/G50</x:f>
        <x:v>0.05589961842358834</x:v>
      </x:c>
      <x:c r="H58" s="139" t="n">
        <x:f>H57/H50</x:f>
        <x:v>0.061891618423588354</x:v>
      </x:c>
      <x:c r="I58" s="139" t="n">
        <x:f>I57/I50</x:f>
        <x:v>0.06788361842358831</x:v>
      </x:c>
      <x:c r="J58" s="139" t="n">
        <x:f>J57/J50</x:f>
        <x:v>0.07387561842358835</x:v>
      </x:c>
      <x:c r="K58" s="139" t="n">
        <x:f>K57/K50</x:f>
        <x:v>0.07986761842358829</x:v>
      </x:c>
      <x:c r="L58" s="139" t="n">
        <x:f>L57/L50</x:f>
        <x:v>0.08585961842358836</x:v>
      </x:c>
      <x:c r="M58" s="4"/>
      <x:c r="N58" s="6" t="str">
        <x:v>Equivalent terminal value</x:v>
      </x:c>
      <x:c r="O58" s="96" t="n">
        <x:f>L70*O57</x:f>
        <x:v>2408.680376498868</x:v>
      </x:c>
    </x:row>
    <x:row r="59" ht="23" customHeight="1">
      <x:c r="A59" s="4"/>
      <x:c r="B59" s="6" t="str">
        <x:v>Cash taxes</x:v>
      </x:c>
      <x:c r="C59" s="105" t="n">
        <x:f>MAX(C57+C56,0)*'Assumptions'!$C$13</x:f>
        <x:v>13.282362283717262</x:v>
      </x:c>
      <x:c r="D59" s="105" t="n">
        <x:f>MAX(D57+D56,0)*'Assumptions'!$C$13</x:f>
        <x:v>17.10126151059996</x:v>
      </x:c>
      <x:c r="E59" s="105" t="n">
        <x:f>MAX(E57+E56,0)*'Assumptions'!$C$13</x:f>
        <x:v>23.25814567064903</x:v>
      </x:c>
      <x:c r="F59" s="105" t="n">
        <x:f>MAX(F57+F56,0)*'Assumptions'!$C$13</x:f>
        <x:v>30.874439941894373</x:v>
      </x:c>
      <x:c r="G59" s="105" t="n">
        <x:f>MAX(G57+G56,0)*'Assumptions'!$C$13</x:f>
        <x:v>38.19385458490461</x:v>
      </x:c>
      <x:c r="H59" s="105" t="n">
        <x:f>MAX(H57+H56,0)*'Assumptions'!$C$13</x:f>
        <x:v>46.170589212329624</x:v>
      </x:c>
      <x:c r="I59" s="105" t="n">
        <x:f>MAX(I57+I56,0)*'Assumptions'!$C$13</x:f>
        <x:v>54.746310173086854</x:v>
      </x:c>
      <x:c r="J59" s="105" t="n">
        <x:f>MAX(J57+J56,0)*'Assumptions'!$C$13</x:f>
        <x:v>63.866578982473705</x:v>
      </x:c>
      <x:c r="K59" s="105" t="n">
        <x:f>MAX(K57+K56,0)*'Assumptions'!$C$13</x:f>
        <x:v>73.4714136543025</x:v>
      </x:c>
      <x:c r="L59" s="105" t="n">
        <x:f>MAX(L57+L56,0)*'Assumptions'!$C$13</x:f>
        <x:v>83.4949937644306</x:v>
      </x:c>
      <x:c r="M59" s="4"/>
      <x:c r="N59" s="6" t="str">
        <x:v>Equivalent value / share</x:v>
      </x:c>
      <x:c r="O59" s="143" t="n">
        <x:f>(O42+O58/(1+O44)^$L$36+O49-O50+'Assumptions'!$G$8)/O52</x:f>
        <x:v>14.553074731540994</x:v>
      </x:c>
    </x:row>
    <x:row r="60" ht="23" customHeight="1">
      <x:c r="A60" s="4"/>
      <x:c r="B60" s="6" t="str">
        <x:v>NOPAT</x:v>
      </x:c>
      <x:c r="C60" s="96" t="n">
        <x:f>C57-C59</x:f>
        <x:v>32.65257945951872</x:v>
      </x:c>
      <x:c r="D60" s="96" t="n">
        <x:f>D57-D59</x:f>
        <x:v>42.74022674853375</x:v>
      </x:c>
      <x:c r="E60" s="96" t="n">
        <x:f>E57-E59</x:f>
        <x:v>59.86124342116584</x:v>
      </x:c>
      <x:c r="F60" s="96" t="n">
        <x:f>F57-F59</x:f>
        <x:v>81.37736131270901</x:v>
      </x:c>
      <x:c r="G60" s="96" t="n">
        <x:f>G57-G59</x:f>
        <x:v>102.03834736894055</x:v>
      </x:c>
      <x:c r="H60" s="96" t="n">
        <x:f>H57-H59</x:f>
        <x:v>124.70717139596019</x:v>
      </x:c>
      <x:c r="I60" s="96" t="n">
        <x:f>I57-I59</x:f>
        <x:v>149.21599083618673</x:v>
      </x:c>
      <x:c r="J60" s="96" t="n">
        <x:f>J57-J59</x:f>
        <x:v>175.4054857304002</x:v>
      </x:c>
      <x:c r="K60" s="96" t="n">
        <x:f>K57-K59</x:f>
        <x:v>203.09988360988396</x:v>
      </x:c>
      <x:c r="L60" s="96" t="n">
        <x:f>L57-L59</x:f>
        <x:v>232.10608091641012</x:v>
      </x:c>
      <x:c r="M60" s="4"/>
      <x:c r="N60" s="6" t="str">
        <x:v>Terminal return assumption</x:v>
      </x:c>
      <x:c r="O60" s="113" t="n">
        <x:f>'Assumptions'!C76</x:f>
        <x:v>0.15</x:v>
      </x:c>
    </x:row>
    <x:row r="61" ht="23" customHeight="1">
      <x:c r="A61" s="4"/>
      <x:c r="B61" s="6" t="str">
        <x:v>Growth capex</x:v>
      </x:c>
      <x:c r="C61" s="105" t="n">
        <x:f>C43*'Assumptions'!C56</x:f>
        <x:v>146.25</x:v>
      </x:c>
      <x:c r="D61" s="105" t="n">
        <x:f>D43*'Assumptions'!D56</x:f>
        <x:v>141.27749999999997</x:v>
      </x:c>
      <x:c r="E61" s="105" t="n">
        <x:f>E43*'Assumptions'!E56</x:f>
        <x:v>142.04443499999996</x:v>
      </x:c>
      <x:c r="F61" s="105" t="n">
        <x:f>F43*'Assumptions'!F56</x:f>
        <x:v>140.52999065624994</x:v>
      </x:c>
      <x:c r="G61" s="105" t="n">
        <x:f>G43*'Assumptions'!G56</x:f>
        <x:v>134.26019107312493</x:v>
      </x:c>
      <x:c r="H61" s="105" t="n">
        <x:f>H43*'Assumptions'!H56</x:f>
        <x:v>127.37935628062726</x:v>
      </x:c>
      <x:c r="I61" s="105" t="n">
        <x:f>I43*'Assumptions'!I56</x:f>
        <x:v>119.85239431859019</x:v>
      </x:c>
      <x:c r="J61" s="105" t="n">
        <x:f>J43*'Assumptions'!J56</x:f>
        <x:v>111.64250530776674</x:v>
      </x:c>
      <x:c r="K61" s="105" t="n">
        <x:f>K43*'Assumptions'!K56</x:f>
        <x:v>102.7111048831454</x:v>
      </x:c>
      <x:c r="L61" s="105" t="n">
        <x:f>L43*'Assumptions'!L56</x:f>
        <x:v>93.01774435979854</x:v>
      </x:c>
      <x:c r="M61" s="4"/>
      <x:c r="N61" s="6" t="str">
        <x:v>Terminal reinvestment rate</x:v>
      </x:c>
      <x:c r="O61" s="147" t="n">
        <x:f>O43/O60</x:f>
        <x:v>0.16666666666666669</x:v>
      </x:c>
    </x:row>
    <x:row r="62" ht="23" customHeight="1">
      <x:c r="A62" s="4"/>
      <x:c r="B62" s="6" t="str">
        <x:v>Maintenance capex</x:v>
      </x:c>
      <x:c r="C62" s="105" t="n">
        <x:f>C50*'Assumptions'!C57</x:f>
        <x:v>24.46132513155242</x:v>
      </x:c>
      <x:c r="D62" s="105" t="n">
        <x:f>D50*'Assumptions'!D57</x:f>
        <x:v>29.116096463104842</x:v>
      </x:c>
      <x:c r="E62" s="105" t="n">
        <x:f>E50*'Assumptions'!E57</x:f>
        <x:v>33.704858208656255</x:v>
      </x:c>
      <x:c r="F62" s="105" t="n">
        <x:f>F50*'Assumptions'!F57</x:f>
        <x:v>38.236258944111974</x:v>
      </x:c>
      <x:c r="G62" s="105" t="n">
        <x:f>G50*'Assumptions'!G57</x:f>
        <x:v>42.64693571162907</x:v>
      </x:c>
      <x:c r="H62" s="105" t="n">
        <x:f>H50*'Assumptions'!H57</x:f>
        <x:v>46.935627219497505</x:v>
      </x:c>
      <x:c r="I62" s="105" t="n">
        <x:f>I50*'Assumptions'!I57</x:f>
        <x:v>51.07799492245109</x:v>
      </x:c>
      <x:c r="J62" s="105" t="n">
        <x:f>J50*'Assumptions'!J57</x:f>
        <x:v>55.06045413787116</x:v>
      </x:c>
      <x:c r="K62" s="105" t="n">
        <x:f>K50*'Assumptions'!K57</x:f>
        <x:v>58.86881500027996</x:v>
      </x:c>
      <x:c r="L62" s="105" t="n">
        <x:f>L50*'Assumptions'!L57</x:f>
        <x:v>62.488261281397655</x:v>
      </x:c>
      <x:c r="M62" s="4"/>
      <x:c r="N62" s="6" t="str">
        <x:v>FY2036 terminal NOPAT</x:v>
      </x:c>
      <x:c r="O62" s="96" t="n">
        <x:f>L60*(1+O43)</x:f>
        <x:v>237.90873293932034</x:v>
      </x:c>
    </x:row>
    <x:row r="63" ht="23" customHeight="1">
      <x:c r="A63" s="4"/>
      <x:c r="B63" s="6" t="str">
        <x:v>Infrastructure capex</x:v>
      </x:c>
      <x:c r="C63" s="105" t="n">
        <x:f>'Assumptions'!C58</x:f>
        <x:v>18</x:v>
      </x:c>
      <x:c r="D63" s="105" t="n">
        <x:f>'Assumptions'!D58</x:f>
        <x:v>18</x:v>
      </x:c>
      <x:c r="E63" s="105" t="n">
        <x:f>'Assumptions'!E58</x:f>
        <x:v>18</x:v>
      </x:c>
      <x:c r="F63" s="105" t="n">
        <x:f>'Assumptions'!F58</x:f>
        <x:v>18</x:v>
      </x:c>
      <x:c r="G63" s="105" t="n">
        <x:f>'Assumptions'!G58</x:f>
        <x:v>18</x:v>
      </x:c>
      <x:c r="H63" s="105" t="n">
        <x:f>'Assumptions'!H58</x:f>
        <x:v>18</x:v>
      </x:c>
      <x:c r="I63" s="105" t="n">
        <x:f>'Assumptions'!I58</x:f>
        <x:v>18</x:v>
      </x:c>
      <x:c r="J63" s="105" t="n">
        <x:f>'Assumptions'!J58</x:f>
        <x:v>18</x:v>
      </x:c>
      <x:c r="K63" s="105" t="n">
        <x:f>'Assumptions'!K58</x:f>
        <x:v>18</x:v>
      </x:c>
      <x:c r="L63" s="105" t="n">
        <x:f>'Assumptions'!L58</x:f>
        <x:v>18</x:v>
      </x:c>
      <x:c r="M63" s="4"/>
      <x:c r="N63" s="6" t="str">
        <x:v>FY2036 terminal FCFF</x:v>
      </x:c>
      <x:c r="O63" s="96" t="n">
        <x:f>O62*(1-O61)</x:f>
        <x:v>198.25727744943362</x:v>
      </x:c>
    </x:row>
    <x:row r="64" ht="23" customHeight="1">
      <x:c r="A64" s="4"/>
      <x:c r="B64" s="6" t="str">
        <x:v>Total capex</x:v>
      </x:c>
      <x:c r="C64" s="96" t="n">
        <x:f>SUM(C61:C63)</x:f>
        <x:v>188.71132513155243</x:v>
      </x:c>
      <x:c r="D64" s="96" t="n">
        <x:f>SUM(D61:D63)</x:f>
        <x:v>188.3935964631048</x:v>
      </x:c>
      <x:c r="E64" s="96" t="n">
        <x:f>SUM(E61:E63)</x:f>
        <x:v>193.7492932086562</x:v>
      </x:c>
      <x:c r="F64" s="96" t="n">
        <x:f>SUM(F61:F63)</x:f>
        <x:v>196.7662496003619</x:v>
      </x:c>
      <x:c r="G64" s="96" t="n">
        <x:f>SUM(G61:G63)</x:f>
        <x:v>194.90712678475398</x:v>
      </x:c>
      <x:c r="H64" s="96" t="n">
        <x:f>SUM(H61:H63)</x:f>
        <x:v>192.31498350012475</x:v>
      </x:c>
      <x:c r="I64" s="96" t="n">
        <x:f>SUM(I61:I63)</x:f>
        <x:v>188.93038924104127</x:v>
      </x:c>
      <x:c r="J64" s="96" t="n">
        <x:f>SUM(J61:J63)</x:f>
        <x:v>184.7029594456379</x:v>
      </x:c>
      <x:c r="K64" s="96" t="n">
        <x:f>SUM(K61:K63)</x:f>
        <x:v>179.57991988342536</x:v>
      </x:c>
      <x:c r="L64" s="96" t="n">
        <x:f>SUM(L61:L63)</x:f>
        <x:v>173.5060056411962</x:v>
      </x:c>
      <x:c r="M64" s="4"/>
      <x:c r="N64" s="4"/>
      <x:c r="O64" s="4"/>
    </x:row>
    <x:row r="65" ht="23" customHeight="1">
      <x:c r="A65" s="4"/>
      <x:c r="B65" s="6" t="str">
        <x:v>Operating NWC</x:v>
      </x:c>
      <x:c r="C65" s="105" t="n">
        <x:f>C50*'Assumptions'!$C$16</x:f>
        <x:v>-14.38901478326613</x:v>
      </x:c>
      <x:c r="D65" s="105" t="n">
        <x:f>D50*'Assumptions'!$C$16</x:f>
        <x:v>-17.12711556653226</x:v>
      </x:c>
      <x:c r="E65" s="105" t="n">
        <x:f>E50*'Assumptions'!$C$16</x:f>
        <x:v>-19.8263871815625</x:v>
      </x:c>
      <x:c r="F65" s="105" t="n">
        <x:f>F50*'Assumptions'!$C$16</x:f>
        <x:v>-22.49191702594822</x:v>
      </x:c>
      <x:c r="G65" s="105" t="n">
        <x:f>G50*'Assumptions'!$C$16</x:f>
        <x:v>-25.086432771546512</x:v>
      </x:c>
      <x:c r="H65" s="105" t="n">
        <x:f>H50*'Assumptions'!$C$16</x:f>
        <x:v>-27.609192482057356</x:v>
      </x:c>
      <x:c r="I65" s="105" t="n">
        <x:f>I50*'Assumptions'!$C$16</x:f>
        <x:v>-30.045879366147698</x:v>
      </x:c>
      <x:c r="J65" s="105" t="n">
        <x:f>J50*'Assumptions'!$C$16</x:f>
        <x:v>-32.388502434041854</x:v>
      </x:c>
      <x:c r="K65" s="105" t="n">
        <x:f>K50*'Assumptions'!$C$16</x:f>
        <x:v>-34.628714706047035</x:v>
      </x:c>
      <x:c r="L65" s="105" t="n">
        <x:f>L50*'Assumptions'!$C$16</x:f>
        <x:v>-36.75780075376332</x:v>
      </x:c>
      <x:c r="M65" s="4"/>
      <x:c r="N65" s="4"/>
      <x:c r="O65" s="4"/>
    </x:row>
    <x:row r="66" ht="23" customHeight="1">
      <x:c r="A66" s="4"/>
      <x:c r="B66" s="6" t="str">
        <x:v>Change in NWC</x:v>
      </x:c>
      <x:c r="C66" s="105" t="n">
        <x:f>C65-'Assumptions'!$C$17</x:f>
        <x:v>-2.5923747832661306</x:v>
      </x:c>
      <x:c r="D66" s="96" t="n">
        <x:f>D65-C65</x:f>
        <x:v>-2.7381007832661304</x:v>
      </x:c>
      <x:c r="E66" s="96" t="n">
        <x:f>E65-D65</x:f>
        <x:v>-2.699271615030238</x:v>
      </x:c>
      <x:c r="F66" s="96" t="n">
        <x:f>F65-E65</x:f>
        <x:v>-2.66552984438572</x:v>
      </x:c>
      <x:c r="G66" s="96" t="n">
        <x:f>G65-F65</x:f>
        <x:v>-2.5945157455982937</x:v>
      </x:c>
      <x:c r="H66" s="96" t="n">
        <x:f>H65-G65</x:f>
        <x:v>-2.5227597105108437</x:v>
      </x:c>
      <x:c r="I66" s="96" t="n">
        <x:f>I65-H65</x:f>
        <x:v>-2.436686884090342</x:v>
      </x:c>
      <x:c r="J66" s="96" t="n">
        <x:f>J65-I65</x:f>
        <x:v>-2.3426230678941558</x:v>
      </x:c>
      <x:c r="K66" s="96" t="n">
        <x:f>K65-J65</x:f>
        <x:v>-2.2402122720051807</x:v>
      </x:c>
      <x:c r="L66" s="96" t="n">
        <x:f>L65-K65</x:f>
        <x:v>-2.129086047716285</x:v>
      </x:c>
      <x:c r="M66" s="4"/>
      <x:c r="N66" s="4"/>
      <x:c r="O66" s="4"/>
    </x:row>
    <x:row r="67" ht="23" customHeight="1">
      <x:c r="A67" s="4"/>
      <x:c r="B67" s="6" t="str">
        <x:v>FCFF</x:v>
      </x:c>
      <x:c r="C67" s="96" t="n">
        <x:f>C60+C54+C56-C64-C66</x:f>
        <x:v>-52.74326740590468</x:v>
      </x:c>
      <x:c r="D67" s="96" t="n">
        <x:f>D60+D54+D56-D64-D66</x:f>
        <x:v>-24.73817152223234</x:v>
      </x:c>
      <x:c r="E67" s="96" t="n">
        <x:f>E60+E54+E56-E64-E66</x:f>
        <x:v>3.6306546621648685</x:v>
      </x:c>
      <x:c r="F67" s="96" t="n">
        <x:f>F60+F54+F56-F64-F66</x:f>
        <x:v>37.97248563058589</x:v>
      </x:c>
      <x:c r="G67" s="96" t="n">
        <x:f>G60+G54+G56-G64-G66</x:f>
        <x:v>75.29619262199185</x:v>
      </x:c>
      <x:c r="H67" s="96" t="n">
        <x:f>H60+H54+H56-H64-H66</x:f>
        <x:v>114.37469873971905</x:v>
      </x:c>
      <x:c r="I67" s="96" t="n">
        <x:f>I60+I54+I56-I64-I66</x:f>
        <x:v>155.01591642258106</x:v>
      </x:c>
      <x:c r="J67" s="96" t="n">
        <x:f>J60+J54+J56-J64-J66</x:f>
        <x:v>197.09271468712012</x:v>
      </x:c>
      <x:c r="K67" s="96" t="n">
        <x:f>K60+K54+K56-K64-K66</x:f>
        <x:v>240.4582071759554</x:v>
      </x:c>
      <x:c r="L67" s="96" t="n">
        <x:f>L60+L54+L56-L64-L66</x:f>
        <x:v>284.9517459208865</x:v>
      </x:c>
      <x:c r="M67" s="4"/>
      <x:c r="N67" s="4"/>
      <x:c r="O67" s="4"/>
    </x:row>
    <x:row r="68" ht="23" customHeight="1">
      <x:c r="A68" s="4"/>
      <x:c r="B68" s="6" t="str">
        <x:v>Discount factor</x:v>
      </x:c>
      <x:c r="C68" s="149" t="n">
        <x:f>1/(1+'Assumptions'!$C$24)^C$36</x:f>
        <x:v>0.9605831398732436</x:v>
      </x:c>
      <x:c r="D68" s="149" t="n">
        <x:f>1/(1+'Assumptions'!$C$24)^D$36</x:f>
        <x:v>0.8677352072435706</x:v>
      </x:c>
      <x:c r="E68" s="149" t="n">
        <x:f>1/(1+'Assumptions'!$C$24)^E$36</x:f>
        <x:v>0.7823308977872312</x:v>
      </x:c>
      <x:c r="F68" s="149" t="n">
        <x:f>1/(1+'Assumptions'!$C$24)^F$36</x:f>
        <x:v>0.706712449496076</x:v>
      </x:c>
      <x:c r="G68" s="149" t="n">
        <x:f>1/(1+'Assumptions'!$C$24)^G$36</x:f>
        <x:v>0.6384031203233597</x:v>
      </x:c>
      <x:c r="H68" s="149" t="n">
        <x:f>1/(1+'Assumptions'!$C$24)^H$36</x:f>
        <x:v>0.5766964262893816</x:v>
      </x:c>
      <x:c r="I68" s="149" t="n">
        <x:f>1/(1+'Assumptions'!$C$24)^I$36</x:f>
        <x:v>0.5209541706602068</x:v>
      </x:c>
      <x:c r="J68" s="149" t="n">
        <x:f>1/(1+'Assumptions'!$C$24)^J$36</x:f>
        <x:v>0.4705998434470634</x:v>
      </x:c>
      <x:c r="K68" s="149" t="n">
        <x:f>1/(1+'Assumptions'!$C$24)^K$36</x:f>
        <x:v>0.42428242504067126</x:v>
      </x:c>
      <x:c r="L68" s="149" t="n">
        <x:f>1/(1+'Assumptions'!$C$24)^L$36</x:f>
        <x:v>0.3832721840933559</x:v>
      </x:c>
      <x:c r="M68" s="4"/>
      <x:c r="N68" s="4"/>
      <x:c r="O68" s="4"/>
    </x:row>
    <x:row r="69" ht="23" customHeight="1">
      <x:c r="A69" s="4"/>
      <x:c r="B69" s="6" t="str">
        <x:v>Present value of FCFF</x:v>
      </x:c>
      <x:c r="C69" s="96" t="n">
        <x:f>C67*C68*$C$37</x:f>
        <x:v>-20.043017173953505</x:v>
      </x:c>
      <x:c r="D69" s="96" t="n">
        <x:f>D67*D68</x:f>
        <x:v>-21.466182392671275</x:v>
      </x:c>
      <x:c r="E69" s="96" t="n">
        <x:f>E67*E68</x:f>
        <x:v>2.840373321406838</x:v>
      </x:c>
      <x:c r="F69" s="96" t="n">
        <x:f>F67*F68</x:f>
        <x:v>26.835628333445907</x:v>
      </x:c>
      <x:c r="G69" s="96" t="n">
        <x:f>G67*G68</x:f>
        <x:v>48.06932431834833</x:v>
      </x:c>
      <x:c r="H69" s="96" t="n">
        <x:f>H67*H68</x:f>
        <x:v>65.95948002112061</x:v>
      </x:c>
      <x:c r="I69" s="96" t="n">
        <x:f>I67*I68</x:f>
        <x:v>80.75618817905765</x:v>
      </x:c>
      <x:c r="J69" s="96" t="n">
        <x:f>J67*J68</x:f>
        <x:v>92.75180067631547</x:v>
      </x:c>
      <x:c r="K69" s="96" t="n">
        <x:f>K67*K68</x:f>
        <x:v>102.0221912615465</x:v>
      </x:c>
      <x:c r="L69" s="96" t="n">
        <x:f>L67*L68</x:f>
        <x:v>109.21407802031318</x:v>
      </x:c>
      <x:c r="M69" s="4"/>
      <x:c r="N69" s="4"/>
      <x:c r="O69" s="4"/>
    </x:row>
    <x:row r="70" ht="23" customHeight="1">
      <x:c r="A70" s="4"/>
      <x:c r="B70" s="6" t="str">
        <x:v>EBITDA</x:v>
      </x:c>
      <x:c r="C70" s="96" t="n">
        <x:f>C57+C54</x:f>
        <x:v>139.46353783446582</x:v>
      </x:c>
      <x:c r="D70" s="96" t="n">
        <x:f>D57+D54</x:f>
        <x:v>169.45502788494016</x:v>
      </x:c>
      <x:c r="E70" s="96" t="n">
        <x:f>E57+E54</x:f>
        <x:v>208.0256283356586</x:v>
      </x:c>
      <x:c r="F70" s="96" t="n">
        <x:f>F57+F54</x:f>
        <x:v>251.70168681548233</x:v>
      </x:c>
      <x:c r="G70" s="96" t="n">
        <x:f>G57+G54</x:f>
        <x:v>293.2594418602789</x:v>
      </x:c>
      <x:c r="H70" s="96" t="n">
        <x:f>H57+H54</x:f>
        <x:v>336.532915500634</x:v>
      </x:c>
      <x:c r="I70" s="96" t="n">
        <x:f>I57+I54</x:f>
        <x:v>381.232989269545</x:v>
      </x:c>
      <x:c r="J70" s="96" t="n">
        <x:f>J57+J54</x:f>
        <x:v>427.12537883031666</x:v>
      </x:c>
      <x:c r="K70" s="96" t="n">
        <x:f>K57+K54</x:f>
        <x:v>473.95497108865453</x:v>
      </x:c>
      <x:c r="L70" s="96" t="n">
        <x:f>L57+L54</x:f>
        <x:v>521.4447589019153</x:v>
      </x:c>
      <x:c r="M70" s="4"/>
      <x:c r="N70" s="4"/>
      <x:c r="O70" s="4"/>
    </x:row>
    <x:row r="71" ht="23" customHeight="1">
      <x:c r="A71" s="4"/>
      <x:c r="B71" s="6" t="str">
        <x:v>EBITDA margin</x:v>
      </x:c>
      <x:c r="C71" s="139" t="n">
        <x:f>C70/C50</x:f>
        <x:v>0.09692361842358836</x:v>
      </x:c>
      <x:c r="D71" s="139" t="n">
        <x:f>D70/D50</x:f>
        <x:v>0.09893961842358834</x:v>
      </x:c>
      <x:c r="E71" s="139" t="n">
        <x:f>E70/E50</x:f>
        <x:v>0.1049236184235883</x:v>
      </x:c>
      <x:c r="F71" s="139" t="n">
        <x:f>F70/F50</x:f>
        <x:v>0.11190761842358835</x:v>
      </x:c>
      <x:c r="G71" s="139" t="n">
        <x:f>G70/G50</x:f>
        <x:v>0.11689961842358836</x:v>
      </x:c>
      <x:c r="H71" s="139" t="n">
        <x:f>H70/H50</x:f>
        <x:v>0.12189161842358837</x:v>
      </x:c>
      <x:c r="I71" s="139" t="n">
        <x:f>I70/I50</x:f>
        <x:v>0.1268836184235883</x:v>
      </x:c>
      <x:c r="J71" s="139" t="n">
        <x:f>J70/J50</x:f>
        <x:v>0.13187561842358836</x:v>
      </x:c>
      <x:c r="K71" s="139" t="n">
        <x:f>K70/K50</x:f>
        <x:v>0.1368676184235883</x:v>
      </x:c>
      <x:c r="L71" s="139" t="n">
        <x:f>L70/L50</x:f>
        <x:v>0.14185961842358835</x:v>
      </x:c>
      <x:c r="M71" s="4"/>
      <x:c r="N71" s="4"/>
      <x:c r="O71" s="4"/>
    </x:row>
    <x:row r="72" ht="23" customHeight="1">
      <x:c r="A72" s="4"/>
      <x:c r="B72" s="4"/>
      <x:c r="C72" s="4"/>
      <x:c r="D72" s="4"/>
      <x:c r="E72" s="4"/>
      <x:c r="F72" s="4"/>
      <x:c r="G72" s="4"/>
      <x:c r="H72" s="4"/>
      <x:c r="I72" s="4"/>
      <x:c r="J72" s="4"/>
      <x:c r="K72" s="4"/>
      <x:c r="L72" s="4"/>
      <x:c r="M72" s="4"/>
      <x:c r="N72" s="4"/>
      <x:c r="O72" s="4"/>
    </x:row>
    <x:row r="73" ht="23" customHeight="1">
      <x:c r="A73" s="4"/>
      <x:c r="B73" s="4"/>
      <x:c r="C73" s="4"/>
      <x:c r="D73" s="4"/>
      <x:c r="E73" s="4"/>
      <x:c r="F73" s="4"/>
      <x:c r="G73" s="4"/>
      <x:c r="H73" s="4"/>
      <x:c r="I73" s="4"/>
      <x:c r="J73" s="4"/>
      <x:c r="K73" s="4"/>
      <x:c r="L73" s="4"/>
      <x:c r="M73" s="4"/>
      <x:c r="N73" s="4"/>
      <x:c r="O73" s="4"/>
    </x:row>
    <x:row r="74" ht="23" customHeight="1">
      <x:c r="A74" s="4"/>
      <x:c r="B74" s="4"/>
      <x:c r="C74" s="4"/>
      <x:c r="D74" s="4"/>
      <x:c r="E74" s="4"/>
      <x:c r="F74" s="4"/>
      <x:c r="G74" s="4"/>
      <x:c r="H74" s="4"/>
      <x:c r="I74" s="4"/>
      <x:c r="J74" s="4"/>
      <x:c r="K74" s="4"/>
      <x:c r="L74" s="4"/>
      <x:c r="M74" s="4"/>
      <x:c r="N74" s="4"/>
      <x:c r="O74" s="4"/>
    </x:row>
    <x:row r="75" ht="23" customHeight="1">
      <x:c r="A75" s="4"/>
      <x:c r="B75" s="4"/>
      <x:c r="C75" s="4"/>
      <x:c r="D75" s="4"/>
      <x:c r="E75" s="4"/>
      <x:c r="F75" s="4"/>
      <x:c r="G75" s="4"/>
      <x:c r="H75" s="4"/>
      <x:c r="I75" s="4"/>
      <x:c r="J75" s="4"/>
      <x:c r="K75" s="4"/>
      <x:c r="L75" s="4"/>
      <x:c r="M75" s="4"/>
      <x:c r="N75" s="4"/>
      <x:c r="O75" s="4"/>
    </x:row>
    <x:row r="76" ht="25" customHeight="1">
      <x:c r="A76" s="4"/>
      <x:c r="B76" s="57" t="str">
        <x:v>Upside Case</x:v>
      </x:c>
      <x:c r="C76" s="58"/>
      <x:c r="D76" s="58"/>
      <x:c r="E76" s="58"/>
      <x:c r="F76" s="58"/>
      <x:c r="G76" s="58"/>
      <x:c r="H76" s="58"/>
      <x:c r="I76" s="58"/>
      <x:c r="J76" s="58"/>
      <x:c r="K76" s="58"/>
      <x:c r="L76" s="58"/>
      <x:c r="M76" s="4"/>
      <x:c r="N76" s="6" t="str">
        <x:v>Upside Case Valuation</x:v>
      </x:c>
      <x:c r="O76" s="4"/>
    </x:row>
    <x:row r="77" ht="34" customHeight="1">
      <x:c r="A77" s="4"/>
      <x:c r="B77" s="40" t="str">
        <x:v>Metric</x:v>
      </x:c>
      <x:c r="C77" s="40" t="str">
        <x:v>FY2026E</x:v>
      </x:c>
      <x:c r="D77" s="40" t="str">
        <x:v>FY2027E</x:v>
      </x:c>
      <x:c r="E77" s="40" t="str">
        <x:v>FY2028E</x:v>
      </x:c>
      <x:c r="F77" s="40" t="str">
        <x:v>FY2029E</x:v>
      </x:c>
      <x:c r="G77" s="40" t="str">
        <x:v>FY2030E</x:v>
      </x:c>
      <x:c r="H77" s="40" t="str">
        <x:v>FY2031E</x:v>
      </x:c>
      <x:c r="I77" s="40" t="str">
        <x:v>FY2032E</x:v>
      </x:c>
      <x:c r="J77" s="40" t="str">
        <x:v>FY2033E</x:v>
      </x:c>
      <x:c r="K77" s="40" t="str">
        <x:v>FY2034E</x:v>
      </x:c>
      <x:c r="L77" s="40" t="str">
        <x:v>FY2035E</x:v>
      </x:c>
      <x:c r="M77" s="42"/>
      <x:c r="N77" s="42"/>
      <x:c r="O77" s="42"/>
    </x:row>
    <x:row r="78" ht="23" customHeight="1">
      <x:c r="A78" s="4"/>
      <x:c r="B78" s="6" t="str">
        <x:v>Beginning restaurants</x:v>
      </x:c>
      <x:c r="C78" s="105" t="n">
        <x:f>'Assumptions'!$C$18</x:f>
        <x:v>439</x:v>
      </x:c>
      <x:c r="D78" s="96" t="n">
        <x:f>C80</x:f>
        <x:v>516</x:v>
      </x:c>
      <x:c r="E78" s="96" t="n">
        <x:f>D80</x:f>
        <x:v>604</x:v>
      </x:c>
      <x:c r="F78" s="96" t="n">
        <x:f>E80</x:f>
        <x:v>700</x:v>
      </x:c>
      <x:c r="G78" s="96" t="n">
        <x:f>F80</x:f>
        <x:v>804</x:v>
      </x:c>
      <x:c r="H78" s="96" t="n">
        <x:f>G80</x:f>
        <x:v>914</x:v>
      </x:c>
      <x:c r="I78" s="96" t="n">
        <x:f>H80</x:f>
        <x:v>1026</x:v>
      </x:c>
      <x:c r="J78" s="96" t="n">
        <x:f>I80</x:f>
        <x:v>1138</x:v>
      </x:c>
      <x:c r="K78" s="96" t="n">
        <x:f>J80</x:f>
        <x:v>1248</x:v>
      </x:c>
      <x:c r="L78" s="96" t="n">
        <x:f>K80</x:f>
        <x:v>1353</x:v>
      </x:c>
      <x:c r="M78" s="4"/>
      <x:c r="N78" s="6" t="str">
        <x:v>PV explicit FCFF</x:v>
      </x:c>
      <x:c r="O78" s="96" t="n">
        <x:f>SUM(C105:L105)</x:f>
        <x:v>1329.2355652086449</x:v>
      </x:c>
    </x:row>
    <x:row r="79" ht="23" customHeight="1">
      <x:c r="A79" s="4"/>
      <x:c r="B79" s="6" t="str">
        <x:v>New openings</x:v>
      </x:c>
      <x:c r="C79" s="105" t="n">
        <x:f>'Assumptions'!C63</x:f>
        <x:v>77</x:v>
      </x:c>
      <x:c r="D79" s="105" t="n">
        <x:f>'Assumptions'!D63</x:f>
        <x:v>88</x:v>
      </x:c>
      <x:c r="E79" s="105" t="n">
        <x:f>'Assumptions'!E63</x:f>
        <x:v>96</x:v>
      </x:c>
      <x:c r="F79" s="105" t="n">
        <x:f>'Assumptions'!F63</x:f>
        <x:v>104</x:v>
      </x:c>
      <x:c r="G79" s="105" t="n">
        <x:f>'Assumptions'!G63</x:f>
        <x:v>110</x:v>
      </x:c>
      <x:c r="H79" s="105" t="n">
        <x:f>'Assumptions'!H63</x:f>
        <x:v>112</x:v>
      </x:c>
      <x:c r="I79" s="105" t="n">
        <x:f>'Assumptions'!I63</x:f>
        <x:v>112</x:v>
      </x:c>
      <x:c r="J79" s="105" t="n">
        <x:f>'Assumptions'!J63</x:f>
        <x:v>110</x:v>
      </x:c>
      <x:c r="K79" s="105" t="n">
        <x:f>'Assumptions'!K63</x:f>
        <x:v>105</x:v>
      </x:c>
      <x:c r="L79" s="105" t="n">
        <x:f>'Assumptions'!L63</x:f>
        <x:v>100</x:v>
      </x:c>
      <x:c r="M79" s="4"/>
      <x:c r="N79" s="6" t="str">
        <x:v>Terminal growth</x:v>
      </x:c>
      <x:c r="O79" s="128" t="n">
        <x:f>'Assumptions'!$C$27</x:f>
        <x:v>0.03</x:v>
      </x:c>
    </x:row>
    <x:row r="80" ht="23" customHeight="1">
      <x:c r="A80" s="4"/>
      <x:c r="B80" s="6" t="str">
        <x:v>Ending restaurants</x:v>
      </x:c>
      <x:c r="C80" s="96" t="n">
        <x:f>C78+C79</x:f>
        <x:v>516</x:v>
      </x:c>
      <x:c r="D80" s="96" t="n">
        <x:f>D78+D79</x:f>
        <x:v>604</x:v>
      </x:c>
      <x:c r="E80" s="96" t="n">
        <x:f>E78+E79</x:f>
        <x:v>700</x:v>
      </x:c>
      <x:c r="F80" s="96" t="n">
        <x:f>F78+F79</x:f>
        <x:v>804</x:v>
      </x:c>
      <x:c r="G80" s="96" t="n">
        <x:f>G78+G79</x:f>
        <x:v>914</x:v>
      </x:c>
      <x:c r="H80" s="96" t="n">
        <x:f>H78+H79</x:f>
        <x:v>1026</x:v>
      </x:c>
      <x:c r="I80" s="96" t="n">
        <x:f>I78+I79</x:f>
        <x:v>1138</x:v>
      </x:c>
      <x:c r="J80" s="96" t="n">
        <x:f>J78+J79</x:f>
        <x:v>1248</x:v>
      </x:c>
      <x:c r="K80" s="96" t="n">
        <x:f>K78+K79</x:f>
        <x:v>1353</x:v>
      </x:c>
      <x:c r="L80" s="96" t="n">
        <x:f>L78+L79</x:f>
        <x:v>1453</x:v>
      </x:c>
      <x:c r="M80" s="4"/>
      <x:c r="N80" s="6" t="str">
        <x:v>WACC</x:v>
      </x:c>
      <x:c r="O80" s="128" t="n">
        <x:f>'Assumptions'!$C$26</x:f>
        <x:v>0.09480949999999999</x:v>
      </x:c>
    </x:row>
    <x:row r="81" ht="23" customHeight="1">
      <x:c r="A81" s="4"/>
      <x:c r="B81" s="6" t="str">
        <x:v>AUV ($mm)</x:v>
      </x:c>
      <x:c r="C81" s="105" t="n">
        <x:f>'Assumptions'!$C$19*(1+'Assumptions'!C64)</x:f>
        <x:v>3.12471</x:v>
      </x:c>
      <x:c r="D81" s="105" t="n">
        <x:f>C81*(1+'Assumptions'!D64)</x:f>
        <x:v>3.2965690499999996</x:v>
      </x:c>
      <x:c r="E81" s="105" t="n">
        <x:f>D81*(1+'Assumptions'!E64)</x:f>
        <x:v>3.4613975024999997</x:v>
      </x:c>
      <x:c r="F81" s="105" t="n">
        <x:f>E81*(1+'Assumptions'!F64)</x:f>
        <x:v>3.6171603901124993</x:v>
      </x:c>
      <x:c r="G81" s="105" t="n">
        <x:f>F81*(1+'Assumptions'!G64)</x:f>
        <x:v>3.7618468057169996</x:v>
      </x:c>
      <x:c r="H81" s="105" t="n">
        <x:f>G81*(1+'Assumptions'!H64)</x:f>
        <x:v>3.904796984334246</x:v>
      </x:c>
      <x:c r="I81" s="105" t="n">
        <x:f>H81*(1+'Assumptions'!I64)</x:f>
        <x:v>4.041464878785944</x:v>
      </x:c>
      <x:c r="J81" s="105" t="n">
        <x:f>I81*(1+'Assumptions'!J64)</x:f>
        <x:v>4.1707917549070945</x:v>
      </x:c>
      <x:c r="K81" s="105" t="n">
        <x:f>J81*(1+'Assumptions'!K64)</x:f>
        <x:v>4.295915507554308</x:v>
      </x:c>
      <x:c r="L81" s="105" t="n">
        <x:f>K81*(1+'Assumptions'!L64)</x:f>
        <x:v>4.424792972780937</x:v>
      </x:c>
      <x:c r="M81" s="4"/>
      <x:c r="N81" s="6" t="str">
        <x:v>Final explicit-year FCFF</x:v>
      </x:c>
      <x:c r="O81" s="96" t="n">
        <x:f>L103</x:f>
        <x:v>651.243361210558</x:v>
      </x:c>
    </x:row>
    <x:row r="82" ht="28" customHeight="1">
      <x:c r="A82" s="4"/>
      <x:c r="B82" s="7" t="str">
        <x:v>Existing-store revenue, cohort adjusted</x:v>
      </x:c>
      <x:c r="C82" s="105" t="n">
        <x:f>(C78-'Historical'!$G$38*(1-'Assumptions'!$G$13))*C81</x:f>
        <x:v>1349.2497779999999</x:v>
      </x:c>
      <x:c r="D82" s="105" t="n">
        <x:f>(D78-C79*(1-'Assumptions'!$G$13))*D81</x:f>
        <x:v>1675.6460481149998</x:v>
      </x:c>
      <x:c r="E82" s="105" t="n">
        <x:f>(E78-D79*(1-'Assumptions'!$G$13))*E81</x:f>
        <x:v>2060.223793488</x:v>
      </x:c>
      <x:c r="F82" s="105" t="n">
        <x:f>(F78-E79*(1-'Assumptions'!$G$13))*F81</x:f>
        <x:v>2497.2875333336697</x:v>
      </x:c>
      <x:c r="G82" s="105" t="n">
        <x:f>(G78-F79*(1-'Assumptions'!$G$13))*G81</x:f>
        <x:v>2985.401625017011</x:v>
      </x:c>
      <x:c r="H82" s="105" t="n">
        <x:f>(H78-G79*(1-'Assumptions'!$G$13))*H81</x:f>
        <x:v>3526.031676853824</x:v>
      </x:c>
      <x:c r="I82" s="105" t="n">
        <x:f>(I78-H79*(1-'Assumptions'!$G$13))*I81</x:f>
        <x:v>4101.278558991976</x:v>
      </x:c>
      <x:c r="J82" s="105" t="n">
        <x:f>(J78-I79*(1-'Assumptions'!$G$13))*J81</x:f>
        <x:v>4699.648149429314</x:v>
      </x:c>
      <x:c r="K82" s="105" t="n">
        <x:f>(K78-J79*(1-'Assumptions'!$G$13))*K81</x:f>
        <x:v>5314.047482844679</x:v>
      </x:c>
      <x:c r="L82" s="105" t="n">
        <x:f>(L78-K79*(1-'Assumptions'!$G$13))*L81</x:f>
        <x:v>5940.284565958407</x:v>
      </x:c>
      <x:c r="M82" s="4"/>
      <x:c r="N82" s="6" t="str">
        <x:v>Terminal value</x:v>
      </x:c>
      <x:c r="O82" s="96" t="n">
        <x:f>IF(O80&gt;O79,O99/(O80-O79),"INPUT REQUIRED: WACC must exceed growth")</x:f>
        <x:v>9457.82627402731</x:v>
      </x:c>
    </x:row>
    <x:row r="83" ht="23" customHeight="1">
      <x:c r="A83" s="4"/>
      <x:c r="B83" s="6" t="str">
        <x:v>New-unit revenue</x:v>
      </x:c>
      <x:c r="C83" s="105" t="n">
        <x:f>C79*C81*'Assumptions'!$C$15</x:f>
        <x:v>108.2712015</x:v>
      </x:c>
      <x:c r="D83" s="105" t="n">
        <x:f>D79*D81*'Assumptions'!$C$15</x:f>
        <x:v>130.54413438</x:v>
      </x:c>
      <x:c r="E83" s="105" t="n">
        <x:f>E79*E81*'Assumptions'!$C$15</x:f>
        <x:v>149.532372108</x:v>
      </x:c>
      <x:c r="F83" s="105" t="n">
        <x:f>F79*F81*'Assumptions'!$C$15</x:f>
        <x:v>169.28310625726496</x:v>
      </x:c>
      <x:c r="G83" s="105" t="n">
        <x:f>G79*G81*'Assumptions'!$C$15</x:f>
        <x:v>186.2114168829915</x:v>
      </x:c>
      <x:c r="H83" s="105" t="n">
        <x:f>H79*H81*'Assumptions'!$C$15</x:f>
        <x:v>196.80176801044598</x:v>
      </x:c>
      <x:c r="I83" s="105" t="n">
        <x:f>I79*I81*'Assumptions'!$C$15</x:f>
        <x:v>203.68982989081158</x:v>
      </x:c>
      <x:c r="J83" s="105" t="n">
        <x:f>J79*J81*'Assumptions'!$C$15</x:f>
        <x:v>206.4541918679012</x:v>
      </x:c>
      <x:c r="K83" s="105" t="n">
        <x:f>K79*K81*'Assumptions'!$C$15</x:f>
        <x:v>202.98200773194105</x:v>
      </x:c>
      <x:c r="L83" s="105" t="n">
        <x:f>L79*L81*'Assumptions'!$C$15</x:f>
        <x:v>199.11568377514214</x:v>
      </x:c>
      <x:c r="M83" s="4"/>
      <x:c r="N83" s="6" t="str">
        <x:v>PV terminal value</x:v>
      </x:c>
      <x:c r="O83" s="96" t="n">
        <x:f>O82*L104</x:f>
        <x:v>4033.532527408101</x:v>
      </x:c>
    </x:row>
    <x:row r="84" ht="23" customHeight="1">
      <x:c r="A84" s="4"/>
      <x:c r="B84" s="6" t="str">
        <x:v>CAVA revenue</x:v>
      </x:c>
      <x:c r="C84" s="96" t="n">
        <x:f>C82+C83</x:f>
        <x:v>1457.5209794999998</x:v>
      </x:c>
      <x:c r="D84" s="96" t="n">
        <x:f>D82+D83</x:f>
        <x:v>1806.1901824949998</x:v>
      </x:c>
      <x:c r="E84" s="96" t="n">
        <x:f>E82+E83</x:f>
        <x:v>2209.756165596</x:v>
      </x:c>
      <x:c r="F84" s="96" t="n">
        <x:f>F82+F83</x:f>
        <x:v>2666.5706395909347</x:v>
      </x:c>
      <x:c r="G84" s="96" t="n">
        <x:f>G82+G83</x:f>
        <x:v>3171.613041900003</x:v>
      </x:c>
      <x:c r="H84" s="96" t="n">
        <x:f>H82+H83</x:f>
        <x:v>3722.83344486427</x:v>
      </x:c>
      <x:c r="I84" s="96" t="n">
        <x:f>I82+I83</x:f>
        <x:v>4304.968388882788</x:v>
      </x:c>
      <x:c r="J84" s="96" t="n">
        <x:f>J82+J83</x:f>
        <x:v>4906.102341297215</x:v>
      </x:c>
      <x:c r="K84" s="96" t="n">
        <x:f>K82+K83</x:f>
        <x:v>5517.0294905766195</x:v>
      </x:c>
      <x:c r="L84" s="96" t="n">
        <x:f>L82+L83</x:f>
        <x:v>6139.40024973355</x:v>
      </x:c>
      <x:c r="M84" s="4"/>
      <x:c r="N84" s="6" t="str">
        <x:v>Enterprise value</x:v>
      </x:c>
      <x:c r="O84" s="96" t="n">
        <x:f>O78+O83</x:f>
        <x:v>5362.768092616746</x:v>
      </x:c>
    </x:row>
    <x:row r="85" ht="23" customHeight="1">
      <x:c r="A85" s="4"/>
      <x:c r="B85" s="6" t="str">
        <x:v>Other revenue</x:v>
      </x:c>
      <x:c r="C85" s="105" t="n">
        <x:f>C84*'Assumptions'!$C$14/(1-'Assumptions'!$C$14)</x:f>
        <x:v>11.754201447580645</x:v>
      </x:c>
      <x:c r="D85" s="105" t="n">
        <x:f>D84*'Assumptions'!$C$14/(1-'Assumptions'!$C$14)</x:f>
        <x:v>14.566049858830645</x:v>
      </x:c>
      <x:c r="E85" s="105" t="n">
        <x:f>E84*'Assumptions'!$C$14/(1-'Assumptions'!$C$14)</x:f>
        <x:v>17.820614238677422</x:v>
      </x:c>
      <x:c r="F85" s="105" t="n">
        <x:f>F84*'Assumptions'!$C$14/(1-'Assumptions'!$C$14)</x:f>
        <x:v>21.504601932184958</x:v>
      </x:c>
      <x:c r="G85" s="105" t="n">
        <x:f>G84*'Assumptions'!$C$14/(1-'Assumptions'!$C$14)</x:f>
        <x:v>25.577524531451637</x:v>
      </x:c>
      <x:c r="H85" s="105" t="n">
        <x:f>H84*'Assumptions'!$C$14/(1-'Assumptions'!$C$14)</x:f>
        <x:v>30.02285036180863</x:v>
      </x:c>
      <x:c r="I85" s="105" t="n">
        <x:f>I84*'Assumptions'!$C$14/(1-'Assumptions'!$C$14)</x:f>
        <x:v>34.71748700711926</x:v>
      </x:c>
      <x:c r="J85" s="105" t="n">
        <x:f>J84*'Assumptions'!$C$14/(1-'Assumptions'!$C$14)</x:f>
        <x:v>39.565341462074315</x:v>
      </x:c>
      <x:c r="K85" s="105" t="n">
        <x:f>K84*'Assumptions'!$C$14/(1-'Assumptions'!$C$14)</x:f>
        <x:v>44.492173311101766</x:v>
      </x:c>
      <x:c r="L85" s="105" t="n">
        <x:f>L84*'Assumptions'!$C$14/(1-'Assumptions'!$C$14)</x:f>
        <x:v>49.511292336560885</x:v>
      </x:c>
      <x:c r="M85" s="4"/>
      <x:c r="N85" s="6" t="str">
        <x:v>Excess cash</x:v>
      </x:c>
      <x:c r="O85" s="105" t="n">
        <x:f>'Assumptions'!$C$11</x:f>
        <x:v>302.96000000000004</x:v>
      </x:c>
    </x:row>
    <x:row r="86" ht="23" customHeight="1">
      <x:c r="A86" s="4"/>
      <x:c r="B86" s="6" t="str">
        <x:v>Total revenue</x:v>
      </x:c>
      <x:c r="C86" s="96" t="n">
        <x:f>C84+C85</x:f>
        <x:v>1469.2751809475806</x:v>
      </x:c>
      <x:c r="D86" s="96" t="n">
        <x:f>D84+D85</x:f>
        <x:v>1820.7562323538305</x:v>
      </x:c>
      <x:c r="E86" s="96" t="n">
        <x:f>E84+E85</x:f>
        <x:v>2227.5767798346774</x:v>
      </x:c>
      <x:c r="F86" s="96" t="n">
        <x:f>F84+F85</x:f>
        <x:v>2688.0752415231195</x:v>
      </x:c>
      <x:c r="G86" s="96" t="n">
        <x:f>G84+G85</x:f>
        <x:v>3197.1905664314545</x:v>
      </x:c>
      <x:c r="H86" s="96" t="n">
        <x:f>H84+H85</x:f>
        <x:v>3752.8562952260786</x:v>
      </x:c>
      <x:c r="I86" s="96" t="n">
        <x:f>I84+I85</x:f>
        <x:v>4339.685875889907</x:v>
      </x:c>
      <x:c r="J86" s="96" t="n">
        <x:f>J84+J85</x:f>
        <x:v>4945.66768275929</x:v>
      </x:c>
      <x:c r="K86" s="96" t="n">
        <x:f>K84+K85</x:f>
        <x:v>5561.521663887721</x:v>
      </x:c>
      <x:c r="L86" s="96" t="n">
        <x:f>L84+L85</x:f>
        <x:v>6188.91154207011</x:v>
      </x:c>
      <x:c r="M86" s="4"/>
      <x:c r="N86" s="6" t="str">
        <x:v>Funded debt</x:v>
      </x:c>
      <x:c r="O86" s="105" t="n">
        <x:f>'Assumptions'!$C$12</x:f>
        <x:v>0</x:v>
      </x:c>
    </x:row>
    <x:row r="87" ht="23" customHeight="1">
      <x:c r="A87" s="4"/>
      <x:c r="B87" s="6" t="str">
        <x:v>Revenue growth</x:v>
      </x:c>
      <x:c r="C87" s="128" t="n">
        <x:f>C86/'Assumptions'!$C$20-1</x:f>
        <x:v>0.24550311016321635</x:v>
      </x:c>
      <x:c r="D87" s="139" t="n">
        <x:f>D86/C86-1</x:f>
        <x:v>0.23922070961517838</x:v>
      </x:c>
      <x:c r="E87" s="139" t="n">
        <x:f>E86/D86-1</x:f>
        <x:v>0.22343493338200404</x:v>
      </x:c>
      <x:c r="F87" s="139" t="n">
        <x:f>F86/E86-1</x:f>
        <x:v>0.20672619047619034</x:v>
      </x:c>
      <x:c r="G87" s="139" t="n">
        <x:f>G86/F86-1</x:f>
        <x:v>0.18939772110689113</x:v>
      </x:c>
      <x:c r="H87" s="139" t="n">
        <x:f>H86/G86-1</x:f>
        <x:v>0.17379812596370536</x:v>
      </x:c>
      <x:c r="I87" s="139" t="n">
        <x:f>I86/H86-1</x:f>
        <x:v>0.1563687853996223</x:v>
      </x:c>
      <x:c r="J87" s="139" t="n">
        <x:f>J86/I86-1</x:f>
        <x:v>0.13963725122042825</x:v>
      </x:c>
      <x:c r="K87" s="139" t="n">
        <x:f>K86/J86-1</x:f>
        <x:v>0.12452393096999059</x:v>
      </x:c>
      <x:c r="L87" s="139" t="n">
        <x:f>L86/K86-1</x:f>
        <x:v>0.11280903250924657</x:v>
      </x:c>
      <x:c r="M87" s="4"/>
      <x:c r="N87" s="6" t="str">
        <x:v>Equity value</x:v>
      </x:c>
      <x:c r="O87" s="105" t="n">
        <x:f>O84+O85-O86+'Assumptions'!$G$8</x:f>
        <x:v>5676.443092616746</x:v>
      </x:c>
    </x:row>
    <x:row r="88" ht="23" customHeight="1">
      <x:c r="A88" s="4"/>
      <x:c r="B88" s="6" t="str">
        <x:v>Restaurant-level profit</x:v>
      </x:c>
      <x:c r="C88" s="105" t="n">
        <x:f>C84*'Assumptions'!C65</x:f>
        <x:v>354.17759801849996</x:v>
      </x:c>
      <x:c r="D88" s="105" t="n">
        <x:f>D84*'Assumptions'!D65</x:f>
        <x:v>447.9351652587599</x:v>
      </x:c>
      <x:c r="E88" s="105" t="n">
        <x:f>E84*'Assumptions'!E65</x:f>
        <x:v>556.8585537301919</x:v>
      </x:c>
      <x:c r="F88" s="105" t="n">
        <x:f>F84*'Assumptions'!F65</x:f>
        <x:v>679.9755130956884</x:v>
      </x:c>
      <x:c r="G88" s="105" t="n">
        <x:f>G84*'Assumptions'!G65</x:f>
        <x:v>818.2761648102007</x:v>
      </x:c>
      <x:c r="H88" s="105" t="n">
        <x:f>H84*'Assumptions'!H65</x:f>
        <x:v>967.9366956647102</x:v>
      </x:c>
      <x:c r="I88" s="105" t="n">
        <x:f>I84*'Assumptions'!I65</x:f>
        <x:v>1127.9017178872905</x:v>
      </x:c>
      <x:c r="J88" s="105" t="n">
        <x:f>J84*'Assumptions'!J65</x:f>
        <x:v>1295.211018102465</x:v>
      </x:c>
      <x:c r="K88" s="105" t="n">
        <x:f>K84*'Assumptions'!K65</x:f>
        <x:v>1462.0128150028042</x:v>
      </x:c>
      <x:c r="L88" s="105" t="n">
        <x:f>L84*'Assumptions'!L65</x:f>
        <x:v>1633.0804664291243</x:v>
      </x:c>
      <x:c r="M88" s="4"/>
      <x:c r="N88" s="6" t="str">
        <x:v>Diluted shares</x:v>
      </x:c>
      <x:c r="O88" s="105" t="n">
        <x:f>'Assumptions'!$C$7</x:f>
        <x:v>118.44885599999999</x:v>
      </x:c>
    </x:row>
    <x:row r="89" ht="23" customHeight="1">
      <x:c r="A89" s="4"/>
      <x:c r="B89" s="6" t="str">
        <x:v>G&amp;A</x:v>
      </x:c>
      <x:c r="C89" s="105" t="n">
        <x:f>C86*'Assumptions'!C66</x:f>
        <x:v>146.92751809475806</x:v>
      </x:c>
      <x:c r="D89" s="105" t="n">
        <x:f>D86*'Assumptions'!D66</x:f>
        <x:v>171.15108584126006</x:v>
      </x:c>
      <x:c r="E89" s="105" t="n">
        <x:f>E86*'Assumptions'!E66</x:f>
        <x:v>196.0267566254516</x:v>
      </x:c>
      <x:c r="F89" s="105" t="n">
        <x:f>F86*'Assumptions'!F66</x:f>
        <x:v>223.11024504641892</x:v>
      </x:c>
      <x:c r="G89" s="105" t="n">
        <x:f>G86*'Assumptions'!G66</x:f>
        <x:v>249.38086418165346</x:v>
      </x:c>
      <x:c r="H89" s="105" t="n">
        <x:f>H86*'Assumptions'!H66</x:f>
        <x:v>277.7113658467298</x:v>
      </x:c>
      <x:c r="I89" s="105" t="n">
        <x:f>I86*'Assumptions'!I66</x:f>
        <x:v>308.1176971881834</x:v>
      </x:c>
      <x:c r="J89" s="105" t="n">
        <x:f>J86*'Assumptions'!J66</x:f>
        <x:v>336.30540242763175</x:v>
      </x:c>
      <x:c r="K89" s="105" t="n">
        <x:f>K86*'Assumptions'!K66</x:f>
        <x:v>361.49890815270186</x:v>
      </x:c>
      <x:c r="L89" s="105" t="n">
        <x:f>L86*'Assumptions'!L66</x:f>
        <x:v>383.71251560834685</x:v>
      </x:c>
      <x:c r="M89" s="4"/>
      <x:c r="N89" s="6" t="str">
        <x:v>PGR value / share</x:v>
      </x:c>
      <x:c r="O89" s="141" t="n">
        <x:f>O87/O88</x:f>
        <x:v>47.92315674721878</x:v>
      </x:c>
    </x:row>
    <x:row r="90" ht="23" customHeight="1">
      <x:c r="A90" s="4"/>
      <x:c r="B90" s="6" t="str">
        <x:v>D&amp;A</x:v>
      </x:c>
      <x:c r="C90" s="105" t="n">
        <x:f>C86*'Assumptions'!C67</x:f>
        <x:v>89.62578603780241</x:v>
      </x:c>
      <x:c r="D90" s="105" t="n">
        <x:f>D86*'Assumptions'!D67</x:f>
        <x:v>105.60386147652217</x:v>
      </x:c>
      <x:c r="E90" s="105" t="n">
        <x:f>E86*'Assumptions'!E67</x:f>
        <x:v>122.51672289090726</x:v>
      </x:c>
      <x:c r="F90" s="105" t="n">
        <x:f>F86*'Assumptions'!F67</x:f>
        <x:v>139.77991255920222</x:v>
      </x:c>
      <x:c r="G90" s="105" t="n">
        <x:f>G86*'Assumptions'!G67</x:f>
        <x:v>159.85952832157272</x:v>
      </x:c>
      <x:c r="H90" s="105" t="n">
        <x:f>H86*'Assumptions'!H67</x:f>
        <x:v>180.1371021708518</x:v>
      </x:c>
      <x:c r="I90" s="105" t="n">
        <x:f>I86*'Assumptions'!I67</x:f>
        <x:v>199.6255502909357</x:v>
      </x:c>
      <x:c r="J90" s="105" t="n">
        <x:f>J86*'Assumptions'!J67</x:f>
        <x:v>217.60937804140875</x:v>
      </x:c>
      <x:c r="K90" s="105" t="n">
        <x:f>K86*'Assumptions'!K67</x:f>
        <x:v>239.145431547172</x:v>
      </x:c>
      <x:c r="L90" s="105" t="n">
        <x:f>L86*'Assumptions'!L67</x:f>
        <x:v>259.93428476694464</x:v>
      </x:c>
      <x:c r="M90" s="4"/>
      <x:c r="N90" s="6" t="str">
        <x:v>Current price</x:v>
      </x:c>
      <x:c r="O90" s="143" t="n">
        <x:f>'Assumptions'!$C$6</x:f>
        <x:v>66.17</x:v>
      </x:c>
    </x:row>
    <x:row r="91" ht="23" customHeight="1">
      <x:c r="A91" s="4"/>
      <x:c r="B91" s="6" t="str">
        <x:v>Pre-opening</x:v>
      </x:c>
      <x:c r="C91" s="105" t="n">
        <x:f>C86*'Assumptions'!C68</x:f>
        <x:v>24.977678076108873</x:v>
      </x:c>
      <x:c r="D91" s="105" t="n">
        <x:f>D86*'Assumptions'!D68</x:f>
        <x:v>27.311343485307457</x:v>
      </x:c>
      <x:c r="E91" s="105" t="n">
        <x:f>E86*'Assumptions'!E68</x:f>
        <x:v>28.958498137850803</x:v>
      </x:c>
      <x:c r="F91" s="105" t="n">
        <x:f>F86*'Assumptions'!F68</x:f>
        <x:v>32.25690289827744</x:v>
      </x:c>
      <x:c r="G91" s="105" t="n">
        <x:f>G86*'Assumptions'!G68</x:f>
        <x:v>35.169096230746</x:v>
      </x:c>
      <x:c r="H91" s="105" t="n">
        <x:f>H86*'Assumptions'!H68</x:f>
        <x:v>37.528562952260785</x:v>
      </x:c>
      <x:c r="I91" s="105" t="n">
        <x:f>I86*'Assumptions'!I68</x:f>
        <x:v>39.05717288300916</x:v>
      </x:c>
      <x:c r="J91" s="105" t="n">
        <x:f>J86*'Assumptions'!J68</x:f>
        <x:v>39.56534146207432</x:v>
      </x:c>
      <x:c r="K91" s="105" t="n">
        <x:f>K86*'Assumptions'!K68</x:f>
        <x:v>38.93065164721405</x:v>
      </x:c>
      <x:c r="L91" s="105" t="n">
        <x:f>L86*'Assumptions'!L68</x:f>
        <x:v>37.13346925242066</x:v>
      </x:c>
      <x:c r="M91" s="4"/>
      <x:c r="N91" s="6" t="str">
        <x:v>Upside / (downside)</x:v>
      </x:c>
      <x:c r="O91" s="139" t="n">
        <x:f>O89/O90-1</x:f>
        <x:v>-0.2757570387302587</x:v>
      </x:c>
    </x:row>
    <x:row r="92" ht="28" customHeight="1">
      <x:c r="A92" s="4"/>
      <x:c r="B92" s="7" t="str">
        <x:v>Noncash impairments / disposal losses</x:v>
      </x:c>
      <x:c r="C92" s="105" t="n">
        <x:f>C86*'Assumptions'!C69</x:f>
        <x:v>5.142463133316532</x:v>
      </x:c>
      <x:c r="D92" s="105" t="n">
        <x:f>D86*'Assumptions'!D69</x:f>
        <x:v>6.372646813238407</x:v>
      </x:c>
      <x:c r="E92" s="105" t="n">
        <x:f>E86*'Assumptions'!E69</x:f>
        <x:v>7.796518729421371</x:v>
      </x:c>
      <x:c r="F92" s="105" t="n">
        <x:f>F86*'Assumptions'!F69</x:f>
        <x:v>9.40826334533092</x:v>
      </x:c>
      <x:c r="G92" s="105" t="n">
        <x:f>G86*'Assumptions'!G69</x:f>
        <x:v>9.591571699294363</x:v>
      </x:c>
      <x:c r="H92" s="105" t="n">
        <x:f>H86*'Assumptions'!H69</x:f>
        <x:v>11.258568885678237</x:v>
      </x:c>
      <x:c r="I92" s="105" t="n">
        <x:f>I86*'Assumptions'!I69</x:f>
        <x:v>13.01905762766972</x:v>
      </x:c>
      <x:c r="J92" s="105" t="n">
        <x:f>J86*'Assumptions'!J69</x:f>
        <x:v>14.83700304827787</x:v>
      </x:c>
      <x:c r="K92" s="105" t="n">
        <x:f>K86*'Assumptions'!K69</x:f>
        <x:v>16.684564991663162</x:v>
      </x:c>
      <x:c r="L92" s="105" t="n">
        <x:f>L86*'Assumptions'!L69</x:f>
        <x:v>18.56673462621033</x:v>
      </x:c>
      <x:c r="M92" s="4"/>
      <x:c r="N92" s="6" t="str">
        <x:v>Terminal value / EV</x:v>
      </x:c>
      <x:c r="O92" s="139" t="n">
        <x:f>O83/O84</x:f>
        <x:v>0.7521362956122072</x:v>
      </x:c>
    </x:row>
    <x:row r="93" ht="23" customHeight="1">
      <x:c r="A93" s="4"/>
      <x:c r="B93" s="6" t="str">
        <x:v>EBIT</x:v>
      </x:c>
      <x:c r="C93" s="105" t="n">
        <x:f>C88+C85*'Assumptions'!$C$31-SUM(C89:C92)</x:f>
        <x:v>81.36202177940191</x:v>
      </x:c>
      <x:c r="D93" s="105" t="n">
        <x:f>D88+D85*'Assumptions'!$C$31-SUM(D89:D92)</x:f>
        <x:v>129.8847718335631</x:v>
      </x:c>
      <x:c r="E93" s="105" t="n">
        <x:f>E88+E85*'Assumptions'!$C$31-SUM(E89:E92)</x:f>
        <x:v>192.24793641609762</x:v>
      </x:c>
      <x:c r="F93" s="105" t="n">
        <x:f>F88+F85*'Assumptions'!$C$31-SUM(F89:F92)</x:f>
        <x:v>264.1830090307873</x:v>
      </x:c>
      <x:c r="G93" s="105" t="n">
        <x:f>G88+G85*'Assumptions'!$C$31-SUM(G89:G92)</x:f>
        <x:v>350.9096278367469</x:v>
      </x:c>
      <x:c r="H93" s="105" t="n">
        <x:f>H88+H85*'Assumptions'!$C$31-SUM(H89:H92)</x:f>
        <x:v>445.6127244937059</x:v>
      </x:c>
      <x:c r="I93" s="105" t="n">
        <x:f>I88+I85*'Assumptions'!$C$31-SUM(I89:I92)</x:f>
        <x:v>549.9406970145085</x:v>
      </x:c>
      <x:c r="J93" s="105" t="n">
        <x:f>J88+J85*'Assumptions'!$C$31-SUM(J89:J92)</x:f>
        <x:v>666.2191150590108</x:v>
      </x:c>
      <x:c r="K93" s="105" t="n">
        <x:f>K88+K85*'Assumptions'!$C$31-SUM(K89:K92)</x:f>
        <x:v>782.5039759635226</x:v>
      </x:c>
      <x:c r="L93" s="105" t="n">
        <x:f>L88+L85*'Assumptions'!$C$31-SUM(L89:L92)</x:f>
        <x:v>907.8614503866904</x:v>
      </x:c>
      <x:c r="M93" s="4"/>
      <x:c r="N93" s="6" t="str">
        <x:v>Implied EV / EBITDA</x:v>
      </x:c>
      <x:c r="O93" s="145" t="n">
        <x:f>'Assumptions'!$C$29</x:f>
        <x:v>8.098870366899428</x:v>
      </x:c>
    </x:row>
    <x:row r="94" ht="23" customHeight="1">
      <x:c r="A94" s="4"/>
      <x:c r="B94" s="6" t="str">
        <x:v>EBIT margin</x:v>
      </x:c>
      <x:c r="C94" s="139" t="n">
        <x:f>C93/C86</x:f>
        <x:v>0.055375618423588326</x:v>
      </x:c>
      <x:c r="D94" s="139" t="n">
        <x:f>D93/D86</x:f>
        <x:v>0.07133561842358828</x:v>
      </x:c>
      <x:c r="E94" s="139" t="n">
        <x:f>E93/E86</x:f>
        <x:v>0.08630361842358833</x:v>
      </x:c>
      <x:c r="F94" s="139" t="n">
        <x:f>F93/F86</x:f>
        <x:v>0.09827961842358834</x:v>
      </x:c>
      <x:c r="G94" s="139" t="n">
        <x:f>G93/G86</x:f>
        <x:v>0.10975561842358832</x:v>
      </x:c>
      <x:c r="H94" s="139" t="n">
        <x:f>H93/H86</x:f>
        <x:v>0.11873961842358832</x:v>
      </x:c>
      <x:c r="I94" s="139" t="n">
        <x:f>I93/I86</x:f>
        <x:v>0.12672361842358837</x:v>
      </x:c>
      <x:c r="J94" s="139" t="n">
        <x:f>J93/J86</x:f>
        <x:v>0.13470761842358836</x:v>
      </x:c>
      <x:c r="K94" s="139" t="n">
        <x:f>K93/K86</x:f>
        <x:v>0.14069961842358839</x:v>
      </x:c>
      <x:c r="L94" s="139" t="n">
        <x:f>L93/L86</x:f>
        <x:v>0.14669161842358835</x:v>
      </x:c>
      <x:c r="M94" s="4"/>
      <x:c r="N94" s="6" t="str">
        <x:v>Equivalent terminal value</x:v>
      </x:c>
      <x:c r="O94" s="96" t="n">
        <x:f>L106*O93</x:f>
        <x:v>9457.82627402731</x:v>
      </x:c>
    </x:row>
    <x:row r="95" ht="23" customHeight="1">
      <x:c r="A95" s="4"/>
      <x:c r="B95" s="6" t="str">
        <x:v>Cash taxes</x:v>
      </x:c>
      <x:c r="C95" s="105" t="n">
        <x:f>MAX(C93+C92,0)*'Assumptions'!$C$13</x:f>
        <x:v>21.626121228179613</x:v>
      </x:c>
      <x:c r="D95" s="105" t="n">
        <x:f>MAX(D93+D92,0)*'Assumptions'!$C$13</x:f>
        <x:v>34.06435466170038</x:v>
      </x:c>
      <x:c r="E95" s="105" t="n">
        <x:f>MAX(E93+E92,0)*'Assumptions'!$C$13</x:f>
        <x:v>50.011113786379745</x:v>
      </x:c>
      <x:c r="F95" s="105" t="n">
        <x:f>MAX(F93+F92,0)*'Assumptions'!$C$13</x:f>
        <x:v>68.39781809402955</x:v>
      </x:c>
      <x:c r="G95" s="105" t="n">
        <x:f>MAX(G93+G92,0)*'Assumptions'!$C$13</x:f>
        <x:v>90.12529988401032</x:v>
      </x:c>
      <x:c r="H95" s="105" t="n">
        <x:f>MAX(H93+H92,0)*'Assumptions'!$C$13</x:f>
        <x:v>114.21782334484604</x:v>
      </x:c>
      <x:c r="I95" s="105" t="n">
        <x:f>MAX(I93+I92,0)*'Assumptions'!$C$13</x:f>
        <x:v>140.73993866054454</x:v>
      </x:c>
      <x:c r="J95" s="105" t="n">
        <x:f>MAX(J93+J92,0)*'Assumptions'!$C$13</x:f>
        <x:v>170.26402952682218</x:v>
      </x:c>
      <x:c r="K95" s="105" t="n">
        <x:f>MAX(K93+K92,0)*'Assumptions'!$C$13</x:f>
        <x:v>199.79713523879644</x:v>
      </x:c>
      <x:c r="L95" s="105" t="n">
        <x:f>MAX(L93+L92,0)*'Assumptions'!$C$13</x:f>
        <x:v>231.60704625322518</x:v>
      </x:c>
      <x:c r="M95" s="4"/>
      <x:c r="N95" s="6" t="str">
        <x:v>Equivalent value / share</x:v>
      </x:c>
      <x:c r="O95" s="143" t="n">
        <x:f>(O78+O94/(1+O80)^$L$36+O85-O86+'Assumptions'!$G$8)/O88</x:f>
        <x:v>47.923156746729745</x:v>
      </x:c>
    </x:row>
    <x:row r="96" ht="23" customHeight="1">
      <x:c r="A96" s="4"/>
      <x:c r="B96" s="6" t="str">
        <x:v>NOPAT</x:v>
      </x:c>
      <x:c r="C96" s="96" t="n">
        <x:f>C93-C95</x:f>
        <x:v>59.7359005512223</x:v>
      </x:c>
      <x:c r="D96" s="96" t="n">
        <x:f>D93-D95</x:f>
        <x:v>95.82041717186272</x:v>
      </x:c>
      <x:c r="E96" s="96" t="n">
        <x:f>E93-E95</x:f>
        <x:v>142.23682262971786</x:v>
      </x:c>
      <x:c r="F96" s="96" t="n">
        <x:f>F93-F95</x:f>
        <x:v>195.78519093675772</x:v>
      </x:c>
      <x:c r="G96" s="96" t="n">
        <x:f>G93-G95</x:f>
        <x:v>260.7843279527366</x:v>
      </x:c>
      <x:c r="H96" s="96" t="n">
        <x:f>H93-H95</x:f>
        <x:v>331.39490114885984</x:v>
      </x:c>
      <x:c r="I96" s="96" t="n">
        <x:f>I93-I95</x:f>
        <x:v>409.2007583539639</x:v>
      </x:c>
      <x:c r="J96" s="96" t="n">
        <x:f>J93-J95</x:f>
        <x:v>495.95508553218866</x:v>
      </x:c>
      <x:c r="K96" s="96" t="n">
        <x:f>K93-K95</x:f>
        <x:v>582.7068407247261</x:v>
      </x:c>
      <x:c r="L96" s="96" t="n">
        <x:f>L93-L95</x:f>
        <x:v>676.2544041334652</x:v>
      </x:c>
      <x:c r="M96" s="4"/>
      <x:c r="N96" s="6" t="str">
        <x:v>Terminal return assumption</x:v>
      </x:c>
      <x:c r="O96" s="113" t="n">
        <x:f>'Assumptions'!C77</x:f>
        <x:v>0.25</x:v>
      </x:c>
    </x:row>
    <x:row r="97" ht="23" customHeight="1">
      <x:c r="A97" s="4"/>
      <x:c r="B97" s="6" t="str">
        <x:v>Growth capex</x:v>
      </x:c>
      <x:c r="C97" s="105" t="n">
        <x:f>C79*'Assumptions'!C70</x:f>
        <x:v>134.75</x:v>
      </x:c>
      <x:c r="D97" s="105" t="n">
        <x:f>D79*'Assumptions'!D70</x:f>
        <x:v>157.08</x:v>
      </x:c>
      <x:c r="E97" s="105" t="n">
        <x:f>E79*'Assumptions'!E70</x:f>
        <x:v>174.7872</x:v>
      </x:c>
      <x:c r="F97" s="105" t="n">
        <x:f>F79*'Assumptions'!F70</x:f>
        <x:v>193.139856</x:v>
      </x:c>
      <x:c r="G97" s="105" t="n">
        <x:f>G79*'Assumptions'!G70</x:f>
        <x:v>208.36819080000004</x:v>
      </x:c>
      <x:c r="H97" s="105" t="n">
        <x:f>H79*'Assumptions'!H70</x:f>
        <x:v>216.39983742720005</x:v>
      </x:c>
      <x:c r="I97" s="105" t="n">
        <x:f>I79*'Assumptions'!I70</x:f>
        <x:v>220.72783417574405</x:v>
      </x:c>
      <x:c r="J97" s="105" t="n">
        <x:f>J79*'Assumptions'!J70</x:f>
        <x:v>221.12199102248644</x:v>
      </x:c>
      <x:c r="K97" s="105" t="n">
        <x:f>K79*'Assumptions'!K70</x:f>
        <x:v>215.29241125916636</x:v>
      </x:c>
      <x:c r="L97" s="105" t="n">
        <x:f>L79*'Assumptions'!L70</x:f>
        <x:v>209.1411995089045</x:v>
      </x:c>
      <x:c r="M97" s="4"/>
      <x:c r="N97" s="6" t="str">
        <x:v>Terminal reinvestment rate</x:v>
      </x:c>
      <x:c r="O97" s="147" t="n">
        <x:f>O79/O96</x:f>
        <x:v>0.12</x:v>
      </x:c>
    </x:row>
    <x:row r="98" ht="23" customHeight="1">
      <x:c r="A98" s="4"/>
      <x:c r="B98" s="6" t="str">
        <x:v>Maintenance capex</x:v>
      </x:c>
      <x:c r="C98" s="105" t="n">
        <x:f>C86*'Assumptions'!C71</x:f>
        <x:v>20.56985253326613</x:v>
      </x:c>
      <x:c r="D98" s="105" t="n">
        <x:f>D86*'Assumptions'!D71</x:f>
        <x:v>25.490587252953627</x:v>
      </x:c>
      <x:c r="E98" s="105" t="n">
        <x:f>E86*'Assumptions'!E71</x:f>
        <x:v>31.186074917685485</x:v>
      </x:c>
      <x:c r="F98" s="105" t="n">
        <x:f>F86*'Assumptions'!F71</x:f>
        <x:v>37.63305338132368</x:v>
      </x:c>
      <x:c r="G98" s="105" t="n">
        <x:f>G86*'Assumptions'!G71</x:f>
        <x:v>44.76066793004036</x:v>
      </x:c>
      <x:c r="H98" s="105" t="n">
        <x:f>H86*'Assumptions'!H71</x:f>
        <x:v>52.5399881331651</x:v>
      </x:c>
      <x:c r="I98" s="105" t="n">
        <x:f>I86*'Assumptions'!I71</x:f>
        <x:v>60.7556022624587</x:v>
      </x:c>
      <x:c r="J98" s="105" t="n">
        <x:f>J86*'Assumptions'!J71</x:f>
        <x:v>69.23934755863006</x:v>
      </x:c>
      <x:c r="K98" s="105" t="n">
        <x:f>K86*'Assumptions'!K71</x:f>
        <x:v>77.8613032944281</x:v>
      </x:c>
      <x:c r="L98" s="105" t="n">
        <x:f>L86*'Assumptions'!L71</x:f>
        <x:v>86.64476158898154</x:v>
      </x:c>
      <x:c r="M98" s="4"/>
      <x:c r="N98" s="6" t="str">
        <x:v>FY2036 terminal NOPAT</x:v>
      </x:c>
      <x:c r="O98" s="96" t="n">
        <x:f>L96*(1+O79)</x:f>
        <x:v>696.5420362574691</x:v>
      </x:c>
    </x:row>
    <x:row r="99" ht="23" customHeight="1">
      <x:c r="A99" s="4"/>
      <x:c r="B99" s="6" t="str">
        <x:v>Infrastructure capex</x:v>
      </x:c>
      <x:c r="C99" s="105" t="n">
        <x:f>'Assumptions'!C72</x:f>
        <x:v>14</x:v>
      </x:c>
      <x:c r="D99" s="105" t="n">
        <x:f>'Assumptions'!D72</x:f>
        <x:v>14</x:v>
      </x:c>
      <x:c r="E99" s="105" t="n">
        <x:f>'Assumptions'!E72</x:f>
        <x:v>14</x:v>
      </x:c>
      <x:c r="F99" s="105" t="n">
        <x:f>'Assumptions'!F72</x:f>
        <x:v>14</x:v>
      </x:c>
      <x:c r="G99" s="105" t="n">
        <x:f>'Assumptions'!G72</x:f>
        <x:v>14</x:v>
      </x:c>
      <x:c r="H99" s="105" t="n">
        <x:f>'Assumptions'!H72</x:f>
        <x:v>14</x:v>
      </x:c>
      <x:c r="I99" s="105" t="n">
        <x:f>'Assumptions'!I72</x:f>
        <x:v>14</x:v>
      </x:c>
      <x:c r="J99" s="105" t="n">
        <x:f>'Assumptions'!J72</x:f>
        <x:v>14</x:v>
      </x:c>
      <x:c r="K99" s="105" t="n">
        <x:f>'Assumptions'!K72</x:f>
        <x:v>14</x:v>
      </x:c>
      <x:c r="L99" s="105" t="n">
        <x:f>'Assumptions'!L72</x:f>
        <x:v>14</x:v>
      </x:c>
      <x:c r="M99" s="4"/>
      <x:c r="N99" s="6" t="str">
        <x:v>FY2036 terminal FCFF</x:v>
      </x:c>
      <x:c r="O99" s="96" t="n">
        <x:f>O98*(1-O97)</x:f>
        <x:v>612.9569919065729</x:v>
      </x:c>
    </x:row>
    <x:row r="100" ht="23" customHeight="1">
      <x:c r="A100" s="4"/>
      <x:c r="B100" s="6" t="str">
        <x:v>Total capex</x:v>
      </x:c>
      <x:c r="C100" s="96" t="n">
        <x:f>SUM(C97:C99)</x:f>
        <x:v>169.31985253326613</x:v>
      </x:c>
      <x:c r="D100" s="96" t="n">
        <x:f>SUM(D97:D99)</x:f>
        <x:v>196.57058725295363</x:v>
      </x:c>
      <x:c r="E100" s="96" t="n">
        <x:f>SUM(E97:E99)</x:f>
        <x:v>219.9732749176855</x:v>
      </x:c>
      <x:c r="F100" s="96" t="n">
        <x:f>SUM(F97:F99)</x:f>
        <x:v>244.7729093813237</x:v>
      </x:c>
      <x:c r="G100" s="96" t="n">
        <x:f>SUM(G97:G99)</x:f>
        <x:v>267.1288587300404</x:v>
      </x:c>
      <x:c r="H100" s="96" t="n">
        <x:f>SUM(H97:H99)</x:f>
        <x:v>282.93982556036514</x:v>
      </x:c>
      <x:c r="I100" s="96" t="n">
        <x:f>SUM(I97:I99)</x:f>
        <x:v>295.4834364382028</x:v>
      </x:c>
      <x:c r="J100" s="96" t="n">
        <x:f>SUM(J97:J99)</x:f>
        <x:v>304.3613385811165</x:v>
      </x:c>
      <x:c r="K100" s="96" t="n">
        <x:f>SUM(K97:K99)</x:f>
        <x:v>307.15371455359445</x:v>
      </x:c>
      <x:c r="L100" s="96" t="n">
        <x:f>SUM(L97:L99)</x:f>
        <x:v>309.785961097886</x:v>
      </x:c>
      <x:c r="M100" s="4"/>
      <x:c r="N100" s="4"/>
      <x:c r="O100" s="4"/>
    </x:row>
    <x:row r="101" ht="23" customHeight="1">
      <x:c r="A101" s="4"/>
      <x:c r="B101" s="6" t="str">
        <x:v>Operating NWC</x:v>
      </x:c>
      <x:c r="C101" s="105" t="n">
        <x:f>C86*'Assumptions'!$C$16</x:f>
        <x:v>-14.692751809475807</x:v>
      </x:c>
      <x:c r="D101" s="105" t="n">
        <x:f>D86*'Assumptions'!$C$16</x:f>
        <x:v>-18.207562323538305</x:v>
      </x:c>
      <x:c r="E101" s="105" t="n">
        <x:f>E86*'Assumptions'!$C$16</x:f>
        <x:v>-22.275767798346774</x:v>
      </x:c>
      <x:c r="F101" s="105" t="n">
        <x:f>F86*'Assumptions'!$C$16</x:f>
        <x:v>-26.880752415231196</x:v>
      </x:c>
      <x:c r="G101" s="105" t="n">
        <x:f>G86*'Assumptions'!$C$16</x:f>
        <x:v>-31.971905664314544</x:v>
      </x:c>
      <x:c r="H101" s="105" t="n">
        <x:f>H86*'Assumptions'!$C$16</x:f>
        <x:v>-37.528562952260785</x:v>
      </x:c>
      <x:c r="I101" s="105" t="n">
        <x:f>I86*'Assumptions'!$C$16</x:f>
        <x:v>-43.39685875889907</x:v>
      </x:c>
      <x:c r="J101" s="105" t="n">
        <x:f>J86*'Assumptions'!$C$16</x:f>
        <x:v>-49.4566768275929</x:v>
      </x:c>
      <x:c r="K101" s="105" t="n">
        <x:f>K86*'Assumptions'!$C$16</x:f>
        <x:v>-55.61521663887721</x:v>
      </x:c>
      <x:c r="L101" s="105" t="n">
        <x:f>L86*'Assumptions'!$C$16</x:f>
        <x:v>-61.8891154207011</x:v>
      </x:c>
      <x:c r="M101" s="4"/>
      <x:c r="N101" s="4"/>
      <x:c r="O101" s="4"/>
    </x:row>
    <x:row r="102" ht="23" customHeight="1">
      <x:c r="A102" s="4"/>
      <x:c r="B102" s="6" t="str">
        <x:v>Change in NWC</x:v>
      </x:c>
      <x:c r="C102" s="105" t="n">
        <x:f>C101-'Assumptions'!$C$17</x:f>
        <x:v>-2.8961118094758067</x:v>
      </x:c>
      <x:c r="D102" s="96" t="n">
        <x:f>D101-C101</x:f>
        <x:v>-3.514810514062498</x:v>
      </x:c>
      <x:c r="E102" s="96" t="n">
        <x:f>E101-D101</x:f>
        <x:v>-4.068205474808469</x:v>
      </x:c>
      <x:c r="F102" s="96" t="n">
        <x:f>F101-E101</x:f>
        <x:v>-4.604984616884423</x:v>
      </x:c>
      <x:c r="G102" s="96" t="n">
        <x:f>G101-F101</x:f>
        <x:v>-5.091153249083348</x:v>
      </x:c>
      <x:c r="H102" s="96" t="n">
        <x:f>H101-G101</x:f>
        <x:v>-5.556657287946241</x:v>
      </x:c>
      <x:c r="I102" s="96" t="n">
        <x:f>I101-H101</x:f>
        <x:v>-5.868295806638287</x:v>
      </x:c>
      <x:c r="J102" s="96" t="n">
        <x:f>J101-I101</x:f>
        <x:v>-6.059818068693829</x:v>
      </x:c>
      <x:c r="K102" s="96" t="n">
        <x:f>K101-J101</x:f>
        <x:v>-6.158539811284307</x:v>
      </x:c>
      <x:c r="L102" s="96" t="n">
        <x:f>L101-K101</x:f>
        <x:v>-6.273898781823895</x:v>
      </x:c>
      <x:c r="M102" s="4"/>
      <x:c r="N102" s="4"/>
      <x:c r="O102" s="4"/>
    </x:row>
    <x:row r="103" ht="23" customHeight="1">
      <x:c r="A103" s="4"/>
      <x:c r="B103" s="6" t="str">
        <x:v>FCFF</x:v>
      </x:c>
      <x:c r="C103" s="96" t="n">
        <x:f>C96+C90+C92-C100-C102</x:f>
        <x:v>-11.919591001449069</x:v>
      </x:c>
      <x:c r="D103" s="96" t="n">
        <x:f>D96+D90+D92-D100-D102</x:f>
        <x:v>14.741148722732158</x:v>
      </x:c>
      <x:c r="E103" s="96" t="n">
        <x:f>E96+E90+E92-E100-E102</x:f>
        <x:v>56.64499480716951</x:v>
      </x:c>
      <x:c r="F103" s="96" t="n">
        <x:f>F96+F90+F92-F100-F102</x:f>
        <x:v>104.80544207685156</x:v>
      </x:c>
      <x:c r="G103" s="96" t="n">
        <x:f>G96+G90+G92-G100-G102</x:f>
        <x:v>168.19772249264662</x:v>
      </x:c>
      <x:c r="H103" s="96" t="n">
        <x:f>H96+H90+H92-H100-H102</x:f>
        <x:v>245.40740393297094</x:v>
      </x:c>
      <x:c r="I103" s="96" t="n">
        <x:f>I96+I90+I92-I100-I102</x:f>
        <x:v>332.23022564100484</x:v>
      </x:c>
      <x:c r="J103" s="96" t="n">
        <x:f>J96+J90+J92-J100-J102</x:f>
        <x:v>430.0999461094526</x:v>
      </x:c>
      <x:c r="K103" s="96" t="n">
        <x:f>K96+K90+K92-K100-K102</x:f>
        <x:v>537.541662521251</x:v>
      </x:c>
      <x:c r="L103" s="96" t="n">
        <x:f>L96+L90+L92-L100-L102</x:f>
        <x:v>651.243361210558</x:v>
      </x:c>
      <x:c r="M103" s="4"/>
      <x:c r="N103" s="4"/>
      <x:c r="O103" s="4"/>
    </x:row>
    <x:row r="104" ht="23" customHeight="1">
      <x:c r="A104" s="4"/>
      <x:c r="B104" s="6" t="str">
        <x:v>Discount factor</x:v>
      </x:c>
      <x:c r="C104" s="149" t="n">
        <x:f>1/(1+'Assumptions'!$C$26)^C$36</x:f>
        <x:v>0.964895166411489</x:v>
      </x:c>
      <x:c r="D104" s="149" t="n">
        <x:f>1/(1+'Assumptions'!$C$26)^D$36</x:f>
        <x:v>0.8815548730011078</x:v>
      </x:c>
      <x:c r="E104" s="149" t="n">
        <x:f>1/(1+'Assumptions'!$C$26)^E$36</x:f>
        <x:v>0.8040149644221621</x:v>
      </x:c>
      <x:c r="F104" s="149" t="n">
        <x:f>1/(1+'Assumptions'!$C$26)^F$36</x:f>
        <x:v>0.734570277192063</x:v>
      </x:c>
      <x:c r="G104" s="149" t="n">
        <x:f>1/(1+'Assumptions'!$C$26)^G$36</x:f>
        <x:v>0.6711236929798006</x:v>
      </x:c>
      <x:c r="H104" s="149" t="n">
        <x:f>1/(1+'Assumptions'!$C$26)^H$36</x:f>
        <x:v>0.6131571413433065</x:v>
      </x:c>
      <x:c r="I104" s="149" t="n">
        <x:f>1/(1+'Assumptions'!$C$26)^I$36</x:f>
        <x:v>0.5601972988183732</x:v>
      </x:c>
      <x:c r="J104" s="149" t="n">
        <x:f>1/(1+'Assumptions'!$C$26)^J$36</x:f>
        <x:v>0.5118117240156116</x:v>
      </x:c>
      <x:c r="K104" s="149" t="n">
        <x:f>1/(1+'Assumptions'!$C$26)^K$36</x:f>
        <x:v>0.466793727399361</x:v>
      </x:c>
      <x:c r="L104" s="149" t="n">
        <x:f>1/(1+'Assumptions'!$C$26)^L$36</x:f>
        <x:v>0.42647564149965633</x:v>
      </x:c>
      <x:c r="M104" s="4"/>
      <x:c r="N104" s="4"/>
      <x:c r="O104" s="4"/>
    </x:row>
    <x:row r="105" ht="23" customHeight="1">
      <x:c r="A105" s="4"/>
      <x:c r="B105" s="6" t="str">
        <x:v>Present value of FCFF</x:v>
      </x:c>
      <x:c r="C105" s="96" t="n">
        <x:f>C103*C104*$C$37</x:f>
        <x:v>-4.549907766422011</x:v>
      </x:c>
      <x:c r="D105" s="96" t="n">
        <x:f>D103*D104</x:f>
        <x:v>12.99513149015859</x:v>
      </x:c>
      <x:c r="E105" s="96" t="n">
        <x:f>E103*E104</x:f>
        <x:v>45.543423484579954</x:v>
      </x:c>
      <x:c r="F105" s="96" t="n">
        <x:f>F103*F104</x:f>
        <x:v>76.98696263762956</x:v>
      </x:c>
      <x:c r="G105" s="96" t="n">
        <x:f>G103*G104</x:f>
        <x:v>112.88147667005667</x:v>
      </x:c>
      <x:c r="H105" s="96" t="n">
        <x:f>H103*H104</x:f>
        <x:v>150.47330226002256</x:v>
      </x:c>
      <x:c r="I105" s="96" t="n">
        <x:f>I103*I104</x:f>
        <x:v>186.11447498990955</x:v>
      </x:c>
      <x:c r="J105" s="96" t="n">
        <x:f>J103*J104</x:f>
        <x:v>220.13019491730057</x:v>
      </x:c>
      <x:c r="K105" s="96" t="n">
        <x:f>K103*K104</x:f>
        <x:v>250.92107628074416</x:v>
      </x:c>
      <x:c r="L105" s="96" t="n">
        <x:f>L103*L104</x:f>
        <x:v>277.73943024466513</x:v>
      </x:c>
      <x:c r="M105" s="4"/>
      <x:c r="N105" s="4"/>
      <x:c r="O105" s="4"/>
    </x:row>
    <x:row r="106" ht="23" customHeight="1">
      <x:c r="A106" s="4"/>
      <x:c r="B106" s="6" t="str">
        <x:v>EBITDA</x:v>
      </x:c>
      <x:c r="C106" s="96" t="n">
        <x:f>C93+C90</x:f>
        <x:v>170.98780781720433</x:v>
      </x:c>
      <x:c r="D106" s="96" t="n">
        <x:f>D93+D90</x:f>
        <x:v>235.48863331008528</x:v>
      </x:c>
      <x:c r="E106" s="96" t="n">
        <x:f>E93+E90</x:f>
        <x:v>314.7646593070049</x:v>
      </x:c>
      <x:c r="F106" s="96" t="n">
        <x:f>F93+F90</x:f>
        <x:v>403.9629215899895</x:v>
      </x:c>
      <x:c r="G106" s="96" t="n">
        <x:f>G93+G90</x:f>
        <x:v>510.7691561583196</x:v>
      </x:c>
      <x:c r="H106" s="96" t="n">
        <x:f>H93+H90</x:f>
        <x:v>625.7498266645578</x:v>
      </x:c>
      <x:c r="I106" s="96" t="n">
        <x:f>I93+I90</x:f>
        <x:v>749.5662473054442</x:v>
      </x:c>
      <x:c r="J106" s="96" t="n">
        <x:f>J93+J90</x:f>
        <x:v>883.8284931004196</x:v>
      </x:c>
      <x:c r="K106" s="96" t="n">
        <x:f>K93+K90</x:f>
        <x:v>1021.6494075106946</x:v>
      </x:c>
      <x:c r="L106" s="96" t="n">
        <x:f>L93+L90</x:f>
        <x:v>1167.7957351536352</x:v>
      </x:c>
      <x:c r="M106" s="4"/>
      <x:c r="N106" s="4"/>
      <x:c r="O106" s="4"/>
    </x:row>
    <x:row r="107" ht="23" customHeight="1">
      <x:c r="A107" s="4"/>
      <x:c r="B107" s="6" t="str">
        <x:v>EBITDA margin</x:v>
      </x:c>
      <x:c r="C107" s="139" t="n">
        <x:f>C106/C86</x:f>
        <x:v>0.11637561842358833</x:v>
      </x:c>
      <x:c r="D107" s="139" t="n">
        <x:f>D106/D86</x:f>
        <x:v>0.1293356184235883</x:v>
      </x:c>
      <x:c r="E107" s="139" t="n">
        <x:f>E106/E86</x:f>
        <x:v>0.14130361842358832</x:v>
      </x:c>
      <x:c r="F107" s="139" t="n">
        <x:f>F106/F86</x:f>
        <x:v>0.15027961842358833</x:v>
      </x:c>
      <x:c r="G107" s="139" t="n">
        <x:f>G106/G86</x:f>
        <x:v>0.15975561842358832</x:v>
      </x:c>
      <x:c r="H107" s="139" t="n">
        <x:f>H106/H86</x:f>
        <x:v>0.16673961842358834</x:v>
      </x:c>
      <x:c r="I107" s="139" t="n">
        <x:f>I106/I86</x:f>
        <x:v>0.17272361842358838</x:v>
      </x:c>
      <x:c r="J107" s="139" t="n">
        <x:f>J106/J86</x:f>
        <x:v>0.17870761842358834</x:v>
      </x:c>
      <x:c r="K107" s="139" t="n">
        <x:f>K106/K86</x:f>
        <x:v>0.18369961842358837</x:v>
      </x:c>
      <x:c r="L107" s="139" t="n">
        <x:f>L106/L86</x:f>
        <x:v>0.1886916184235884</x:v>
      </x:c>
      <x:c r="M107" s="4"/>
      <x:c r="N107" s="4"/>
      <x:c r="O107" s="4"/>
    </x:row>
    <x:row r="108" ht="23" customHeight="1">
      <x:c r="A108" s="4"/>
      <x:c r="B108" s="4"/>
      <x:c r="C108" s="4"/>
      <x:c r="D108" s="4"/>
      <x:c r="E108" s="4"/>
      <x:c r="F108" s="4"/>
      <x:c r="G108" s="4"/>
      <x:c r="H108" s="4"/>
      <x:c r="I108" s="4"/>
      <x:c r="J108" s="4"/>
      <x:c r="K108" s="4"/>
      <x:c r="L108" s="4"/>
      <x:c r="M108" s="4"/>
      <x:c r="N108" s="4"/>
      <x:c r="O108" s="4"/>
    </x:row>
    <x:row r="109" ht="23" customHeight="1">
      <x:c r="A109" s="4"/>
      <x:c r="B109" s="4"/>
      <x:c r="C109" s="4"/>
      <x:c r="D109" s="4"/>
      <x:c r="E109" s="4"/>
      <x:c r="F109" s="4"/>
      <x:c r="G109" s="4"/>
      <x:c r="H109" s="4"/>
      <x:c r="I109" s="4"/>
      <x:c r="J109" s="4"/>
      <x:c r="K109" s="4"/>
      <x:c r="L109" s="4"/>
      <x:c r="M109" s="4"/>
      <x:c r="N109" s="4"/>
      <x:c r="O109" s="4"/>
    </x:row>
    <x:row r="110" ht="23" customHeight="1">
      <x:c r="A110" s="4"/>
      <x:c r="B110" s="4"/>
      <x:c r="C110" s="4"/>
      <x:c r="D110" s="4"/>
      <x:c r="E110" s="4"/>
      <x:c r="F110" s="4"/>
      <x:c r="G110" s="4"/>
      <x:c r="H110" s="4"/>
      <x:c r="I110" s="4"/>
      <x:c r="J110" s="4"/>
      <x:c r="K110" s="4"/>
      <x:c r="L110" s="4"/>
      <x:c r="M110" s="4"/>
      <x:c r="N110" s="4"/>
      <x:c r="O110" s="4"/>
    </x:row>
  </x:sheetData>
  <x:pageMargins left="0.7" right="0.7" top="0.75" bottom="0.75" header="0.3" footer="0.3"/>
</x:worksheet>
</file>

<file path=xl/worksheets/sheet8.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4" hidden="0" customWidth="1"/>
    <x:col min="2" max="2" width="18" hidden="0" customWidth="1"/>
    <x:col min="3" max="3" width="4" hidden="0" customWidth="1"/>
    <x:col min="4" max="4" width="22" hidden="0" customWidth="1"/>
    <x:col min="5" max="5" width="22" hidden="0" customWidth="1"/>
    <x:col min="6" max="6" width="22" hidden="0" customWidth="1"/>
    <x:col min="7" max="7" width="22" hidden="0" customWidth="1"/>
    <x:col min="8" max="8" width="22" hidden="0" customWidth="1"/>
  </x:cols>
  <x:sheetData>
    <x:row r="1" ht="31" customHeight="1">
      <x:c r="A1" s="178" t="str">
        <x:v>CAVA, Investment Needed for Future Growth</x:v>
      </x:c>
      <x:c r="B1" s="22"/>
      <x:c r="C1" s="22"/>
      <x:c r="D1" s="22"/>
      <x:c r="E1" s="22"/>
      <x:c r="F1" s="22"/>
      <x:c r="G1" s="22"/>
      <x:c r="H1" s="22"/>
    </x:row>
    <x:row r="2" ht="24" customHeight="1">
      <x:c r="A2" s="44" t="str">
        <x:v>Terminal cash flow deducts investment equal to growth divided by the assumed return on capital. The main base DCF uses 20%.</x:v>
      </x:c>
      <x:c r="B2" s="26"/>
      <x:c r="C2" s="26"/>
      <x:c r="D2" s="26"/>
      <x:c r="E2" s="26"/>
      <x:c r="F2" s="26"/>
      <x:c r="G2" s="26"/>
      <x:c r="H2" s="26"/>
    </x:row>
    <x:row r="3" ht="24" customHeight="1">
      <x:c r="A3" s="45" t="str">
        <x:v>Comparisons hold the explicit forecast fixed.</x:v>
      </x:c>
      <x:c r="B3" s="45"/>
      <x:c r="C3" s="179"/>
      <x:c r="D3" s="179"/>
      <x:c r="E3" s="179"/>
      <x:c r="F3" s="179"/>
      <x:c r="G3" s="179"/>
      <x:c r="H3" s="179"/>
    </x:row>
    <x:row r="4" ht="54" customHeight="1">
      <x:c r="A4" s="55" t="str">
        <x:v>Linked model input</x:v>
      </x:c>
      <x:c r="B4" s="55" t="str">
        <x:v>Value</x:v>
      </x:c>
      <x:c r="C4" s="4"/>
      <x:c r="D4" s="55" t="str">
        <x:v>Assumed long-run ROIC</x:v>
      </x:c>
      <x:c r="E4" s="55" t="str">
        <x:v>Reinvestment rate</x:v>
      </x:c>
      <x:c r="F4" s="55" t="str">
        <x:v>FY2036 NOPAT ($mm)</x:v>
      </x:c>
      <x:c r="G4" s="55" t="str">
        <x:v>Required reinvestment ($mm)</x:v>
      </x:c>
      <x:c r="H4" s="55" t="str">
        <x:v>Illustrative value / share</x:v>
      </x:c>
    </x:row>
    <x:row r="5" ht="31" customHeight="1">
      <x:c r="A5" s="6" t="str">
        <x:v>FY2035 EBIT ($mm)</x:v>
      </x:c>
      <x:c r="B5" s="169" t="n">
        <x:f>'Forecast'!L13</x:f>
        <x:v>641.830498514997</x:v>
      </x:c>
      <x:c r="C5" s="42"/>
      <x:c r="D5" s="170" t="n">
        <x:v>0.15</x:v>
      </x:c>
      <x:c r="E5" s="170" t="n">
        <x:f>$B$7/D5</x:f>
        <x:v>0.2</x:v>
      </x:c>
      <x:c r="F5" s="169" t="n">
        <x:f>'Scenarios'!$L$24*(1+$B$7)</x:f>
        <x:v>491.90273233964336</x:v>
      </x:c>
      <x:c r="G5" s="169" t="n">
        <x:f>F5*E5</x:f>
        <x:v>98.38054646792868</x:v>
      </x:c>
      <x:c r="H5" s="171" t="n">
        <x:f>($B$9+((F5-G5)/($B$8-$B$7))/(1+$B$8)^'Scenarios'!$L$36+$B$10)/$B$11</x:f>
        <x:v>29.482994585620343</x:v>
      </x:c>
    </x:row>
    <x:row r="6" ht="31" customHeight="1">
      <x:c r="A6" s="6" t="str">
        <x:v>Forecast tax rate</x:v>
      </x:c>
      <x:c r="B6" s="113" t="n">
        <x:f>'Assumptions'!C13</x:f>
        <x:v>0.25</x:v>
      </x:c>
      <x:c r="C6" s="4"/>
      <x:c r="D6" s="115" t="n">
        <x:v>0.2</x:v>
      </x:c>
      <x:c r="E6" s="147" t="n">
        <x:f>$B$7/D6</x:f>
        <x:v>0.15</x:v>
      </x:c>
      <x:c r="F6" s="153" t="n">
        <x:f>'Scenarios'!$L$24*(1+$B$7)</x:f>
        <x:v>491.90273233964336</x:v>
      </x:c>
      <x:c r="G6" s="155" t="n">
        <x:f>F6*E6</x:f>
        <x:v>73.78540985094651</x:v>
      </x:c>
      <x:c r="H6" s="157" t="n">
        <x:f>($B$9+((F6-G6)/($B$8-$B$7))/(1+$B$8)^'Scenarios'!$L$36+$B$10)/$B$11</x:f>
        <x:v>30.698284960426506</x:v>
      </x:c>
    </x:row>
    <x:row r="7" ht="31" customHeight="1">
      <x:c r="A7" s="6" t="str">
        <x:v>Perpetual growth</x:v>
      </x:c>
      <x:c r="B7" s="107" t="n">
        <x:f>'Assumptions'!C22</x:f>
        <x:v>0.03</x:v>
      </x:c>
      <x:c r="C7" s="4"/>
      <x:c r="D7" s="115" t="n">
        <x:v>0.25</x:v>
      </x:c>
      <x:c r="E7" s="147" t="n">
        <x:f>$B$7/D7</x:f>
        <x:v>0.12</x:v>
      </x:c>
      <x:c r="F7" s="153" t="n">
        <x:f>'Scenarios'!$L$24*(1+$B$7)</x:f>
        <x:v>491.90273233964336</x:v>
      </x:c>
      <x:c r="G7" s="155" t="n">
        <x:f>F7*E7</x:f>
        <x:v>59.0283278807572</x:v>
      </x:c>
      <x:c r="H7" s="157" t="n">
        <x:f>($B$9+((F7-G7)/($B$8-$B$7))/(1+$B$8)^'Scenarios'!$L$36+$B$10)/$B$11</x:f>
        <x:v>31.427459185310205</x:v>
      </x:c>
    </x:row>
    <x:row r="8" ht="31" customHeight="1">
      <x:c r="A8" s="6" t="str">
        <x:v>Base WACC</x:v>
      </x:c>
      <x:c r="B8" s="107" t="n">
        <x:f>'Assumptions'!C21</x:f>
        <x:v>0.0998095</x:v>
      </x:c>
      <x:c r="C8" s="4"/>
      <x:c r="D8" s="115" t="n">
        <x:v>0.3</x:v>
      </x:c>
      <x:c r="E8" s="147" t="n">
        <x:f>$B$7/D8</x:f>
        <x:v>0.1</x:v>
      </x:c>
      <x:c r="F8" s="153" t="n">
        <x:f>'Scenarios'!$L$24*(1+$B$7)</x:f>
        <x:v>491.90273233964336</x:v>
      </x:c>
      <x:c r="G8" s="155" t="n">
        <x:f>F8*E8</x:f>
        <x:v>49.19027323396434</x:v>
      </x:c>
      <x:c r="H8" s="157" t="n">
        <x:f>($B$9+((F8-G8)/($B$8-$B$7))/(1+$B$8)^'Scenarios'!$L$36+$B$10)/$B$11</x:f>
        <x:v>31.913575335232668</x:v>
      </x:c>
    </x:row>
    <x:row r="9" ht="31" customHeight="1">
      <x:c r="A9" s="6" t="str">
        <x:v>PV explicit FCFF ($mm)</x:v>
      </x:c>
      <x:c r="B9" s="153" t="n">
        <x:f>'DCF'!C13</x:f>
        <x:v>875.3559064633095</x:v>
      </x:c>
      <x:c r="C9" s="4"/>
      <x:c r="D9" s="4"/>
      <x:c r="E9" s="4"/>
      <x:c r="F9" s="4"/>
      <x:c r="G9" s="4"/>
      <x:c r="H9" s="4"/>
    </x:row>
    <x:row r="10" ht="31" customHeight="1">
      <x:c r="A10" s="6" t="str">
        <x:v>Net non-operating assets ($mm)</x:v>
      </x:c>
      <x:c r="B10" s="153" t="n">
        <x:f>'Assumptions'!C11-'Assumptions'!C12+'Assumptions'!G8</x:f>
        <x:v>313.675</x:v>
      </x:c>
      <x:c r="C10" s="4"/>
      <x:c r="D10" s="6"/>
      <x:c r="E10" s="4"/>
      <x:c r="F10" s="4"/>
      <x:c r="G10" s="4"/>
      <x:c r="H10" s="4"/>
    </x:row>
    <x:row r="11" ht="31" customHeight="1">
      <x:c r="A11" s="6" t="str">
        <x:v>Diluted shares (mm)</x:v>
      </x:c>
      <x:c r="B11" s="153" t="n">
        <x:f>'Assumptions'!C7</x:f>
        <x:v>118.44885599999999</x:v>
      </x:c>
      <x:c r="C11" s="4"/>
      <x:c r="D11" s="7"/>
      <x:c r="E11" s="4"/>
      <x:c r="F11" s="4"/>
      <x:c r="G11" s="4"/>
      <x:c r="H11" s="4"/>
    </x:row>
    <x:row r="12" ht="48" customHeight="1">
      <x:c r="A12" s="4"/>
      <x:c r="B12" s="4"/>
      <x:c r="C12" s="4"/>
      <x:c r="D12" s="7"/>
      <x:c r="E12" s="4"/>
      <x:c r="F12" s="4"/>
      <x:c r="G12" s="4"/>
      <x:c r="H12" s="4"/>
    </x:row>
    <x:row r="13" ht="36" customHeight="1">
      <x:c r="A13" s="4"/>
      <x:c r="B13" s="4"/>
      <x:c r="C13" s="4"/>
      <x:c r="D13" s="55" t="str">
        <x:v>Interpretation</x:v>
      </x:c>
      <x:c r="E13" s="176"/>
      <x:c r="F13" s="176"/>
      <x:c r="G13" s="176"/>
      <x:c r="H13" s="176"/>
    </x:row>
    <x:row r="14" ht="26" customHeight="1">
      <x:c r="A14" s="4"/>
      <x:c r="B14" s="4"/>
      <x:c r="C14" s="4"/>
      <x:c r="D14" s="26" t="str">
        <x:v>At 3% growth, the share of after-tax operating profit reinvested equals 3% divided by ROIC.</x:v>
      </x:c>
      <x:c r="E14" s="26"/>
      <x:c r="F14" s="26"/>
      <x:c r="G14" s="26"/>
      <x:c r="H14" s="26"/>
    </x:row>
    <x:row r="15" ht="23" customHeight="1">
      <x:c r="A15" s="4"/>
      <x:c r="B15" s="4"/>
      <x:c r="C15" s="4"/>
      <x:c r="D15" s="4"/>
      <x:c r="E15" s="4"/>
      <x:c r="F15" s="4"/>
      <x:c r="G15" s="4"/>
      <x:c r="H15" s="4"/>
    </x:row>
    <x:row r="16" ht="23" customHeight="1">
      <x:c r="A16" s="4"/>
      <x:c r="B16" s="4"/>
      <x:c r="C16" s="4"/>
      <x:c r="D16" s="4"/>
      <x:c r="E16" s="4"/>
      <x:c r="F16" s="4"/>
      <x:c r="G16" s="4"/>
      <x:c r="H16" s="4"/>
    </x:row>
    <x:row r="17" ht="24" customHeight="1">
      <x:c r="A17" s="4"/>
      <x:c r="B17" s="4"/>
      <x:c r="C17" s="4"/>
      <x:c r="D17" s="26" t="str">
        <x:v>Terminal NOPAT grows the final-year cash-tax-adjusted operating profit. Forecast write-downs do not receive an immediate</x:v>
      </x:c>
      <x:c r="E17" s="26"/>
      <x:c r="F17" s="26"/>
      <x:c r="G17" s="26"/>
      <x:c r="H17" s="26"/>
    </x:row>
    <x:row r="18" ht="24" customHeight="1">
      <x:c r="A18" s="4"/>
      <x:c r="B18" s="4"/>
      <x:c r="C18" s="4"/>
      <x:c r="D18" s="45" t="str">
        <x:v>cash-tax benefit.</x:v>
      </x:c>
      <x:c r="E18" s="4"/>
      <x:c r="F18" s="4"/>
      <x:c r="G18" s="4"/>
      <x:c r="H18" s="4"/>
    </x:row>
    <x:row r="19" ht="23" customHeight="1">
      <x:c r="A19" s="4"/>
      <x:c r="B19" s="4"/>
      <x:c r="C19" s="4"/>
      <x:c r="D19" s="4"/>
      <x:c r="E19" s="4"/>
      <x:c r="F19" s="4"/>
      <x:c r="G19" s="4"/>
      <x:c r="H19" s="4"/>
    </x:row>
    <x:row r="20" ht="26" customHeight="1">
      <x:c r="A20" s="4"/>
      <x:c r="B20" s="4"/>
      <x:c r="C20" s="4"/>
      <x:c r="D20" s="26" t="str">
        <x:v>This test deducts investment needed for continued growth. ROIC means return on invested capital.</x:v>
      </x:c>
      <x:c r="E20" s="26"/>
      <x:c r="F20" s="26"/>
      <x:c r="G20" s="26"/>
      <x:c r="H20" s="26"/>
    </x:row>
    <x:row r="21" ht="23" customHeight="1">
      <x:c r="A21" s="4"/>
      <x:c r="B21" s="4"/>
      <x:c r="C21" s="4"/>
      <x:c r="D21" s="4"/>
      <x:c r="E21" s="4"/>
      <x:c r="F21" s="4"/>
      <x:c r="G21" s="4"/>
      <x:c r="H21" s="4"/>
    </x:row>
    <x:row r="22" ht="23" customHeight="1">
      <x:c r="A22" s="4"/>
      <x:c r="B22" s="4"/>
      <x:c r="C22" s="4"/>
      <x:c r="D22" s="4"/>
      <x:c r="E22" s="4"/>
      <x:c r="F22" s="4"/>
      <x:c r="G22" s="4"/>
      <x:c r="H22" s="4"/>
    </x:row>
    <x:row r="23" ht="23" customHeight="1">
      <x:c r="A23" s="4"/>
      <x:c r="B23" s="4"/>
      <x:c r="C23" s="4"/>
      <x:c r="D23" s="4"/>
      <x:c r="E23" s="4"/>
      <x:c r="F23" s="4"/>
      <x:c r="G23" s="4"/>
      <x:c r="H23" s="4"/>
    </x:row>
    <x:row r="24" ht="23" customHeight="1">
      <x:c r="A24" s="4"/>
      <x:c r="B24" s="4"/>
      <x:c r="C24" s="4"/>
      <x:c r="D24" s="4"/>
      <x:c r="E24" s="4"/>
      <x:c r="F24" s="4"/>
      <x:c r="G24" s="4"/>
      <x:c r="H24" s="4"/>
    </x:row>
    <x:row r="25" ht="23" customHeight="1">
      <x:c r="A25" s="4"/>
      <x:c r="B25" s="4"/>
      <x:c r="C25" s="4"/>
      <x:c r="D25" s="4"/>
      <x:c r="E25" s="4"/>
      <x:c r="F25" s="4"/>
      <x:c r="G25" s="4"/>
      <x:c r="H25" s="4"/>
    </x:row>
    <x:row r="26" ht="23" customHeight="1">
      <x:c r="A26" s="4"/>
      <x:c r="B26" s="4"/>
      <x:c r="C26" s="4"/>
      <x:c r="D26" s="4"/>
      <x:c r="E26" s="4"/>
      <x:c r="F26" s="4"/>
      <x:c r="G26" s="4"/>
      <x:c r="H26" s="4"/>
    </x:row>
    <x:row r="27" ht="23" customHeight="1">
      <x:c r="A27" s="4"/>
      <x:c r="B27" s="4"/>
      <x:c r="C27" s="4"/>
      <x:c r="D27" s="4"/>
      <x:c r="E27" s="4"/>
      <x:c r="F27" s="4"/>
      <x:c r="G27" s="4"/>
      <x:c r="H27" s="4"/>
    </x:row>
    <x:row r="28" ht="23" customHeight="1">
      <x:c r="A28" s="4"/>
      <x:c r="B28" s="4"/>
      <x:c r="C28" s="4"/>
      <x:c r="D28" s="4"/>
      <x:c r="E28" s="4"/>
      <x:c r="F28" s="4"/>
      <x:c r="G28" s="4"/>
      <x:c r="H28" s="4"/>
    </x:row>
    <x:row r="29" ht="23" customHeight="1">
      <x:c r="A29" s="4"/>
      <x:c r="B29" s="4"/>
      <x:c r="C29" s="4"/>
      <x:c r="D29" s="4"/>
      <x:c r="E29" s="4"/>
      <x:c r="F29" s="4"/>
      <x:c r="G29" s="4"/>
      <x:c r="H29" s="4"/>
    </x:row>
    <x:row r="30" ht="23" customHeight="1">
      <x:c r="A30" s="4"/>
      <x:c r="B30" s="4"/>
      <x:c r="C30" s="4"/>
      <x:c r="D30" s="4"/>
      <x:c r="E30" s="4"/>
      <x:c r="F30" s="4"/>
      <x:c r="G30" s="4"/>
      <x:c r="H30" s="4"/>
    </x:row>
  </x:sheetData>
  <x:pageMargins left="0.7" right="0.7" top="0.75" bottom="0.75" header="0.3" footer="0.3"/>
</x:worksheet>
</file>

<file path=xl/worksheets/sheet9.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46" hidden="0" customWidth="1"/>
    <x:col min="5" max="5" width="76" hidden="0" customWidth="1"/>
    <x:col min="6" max="6" width="14" hidden="0" customWidth="1"/>
    <x:col min="7" max="7" width="14" hidden="0" customWidth="1"/>
  </x:cols>
  <x:sheetData>
    <x:row r="1" ht="31" customHeight="1">
      <x:c r="A1" s="7"/>
      <x:c r="B1" s="22" t="str">
        <x:v>CAVA, Weighted Average Cost of Capital</x:v>
      </x:c>
      <x:c r="C1" s="22"/>
      <x:c r="D1" s="22"/>
      <x:c r="E1" s="22"/>
      <x:c r="F1" s="22"/>
      <x:c r="G1" s="22"/>
    </x:row>
    <x:row r="2" ht="34" customHeight="1">
      <x:c r="A2" s="7"/>
      <x:c r="B2" s="26" t="str">
        <x:v>Cost of capital blends the retained company risk estimate and January 2026 restaurant industry beta.</x:v>
      </x:c>
      <x:c r="C2" s="26"/>
      <x:c r="D2" s="26"/>
      <x:c r="E2" s="26"/>
      <x:c r="F2" s="26"/>
      <x:c r="G2" s="26"/>
    </x:row>
    <x:row r="3" ht="23" customHeight="1">
      <x:c r="A3" s="4"/>
      <x:c r="B3" s="4"/>
      <x:c r="C3" s="4"/>
      <x:c r="D3" s="4"/>
      <x:c r="E3" s="4"/>
      <x:c r="F3" s="4"/>
      <x:c r="G3" s="4"/>
    </x:row>
    <x:row r="4" ht="25" customHeight="1">
      <x:c r="A4" s="4"/>
      <x:c r="B4" s="57" t="str">
        <x:v>Cost of Capital</x:v>
      </x:c>
      <x:c r="C4" s="58"/>
      <x:c r="D4" s="58"/>
      <x:c r="E4" s="58"/>
      <x:c r="F4" s="4"/>
      <x:c r="G4" s="4"/>
    </x:row>
    <x:row r="5" ht="34" customHeight="1">
      <x:c r="A5" s="4"/>
      <x:c r="B5" s="40" t="str">
        <x:v>Input / calculation</x:v>
      </x:c>
      <x:c r="C5" s="40" t="str">
        <x:v>Value</x:v>
      </x:c>
      <x:c r="D5" s="40" t="str">
        <x:v>Method / formula</x:v>
      </x:c>
      <x:c r="E5" s="40" t="str">
        <x:v>Source</x:v>
      </x:c>
      <x:c r="F5" s="42"/>
      <x:c r="G5" s="42"/>
    </x:row>
    <x:row r="6" ht="28" customHeight="1">
      <x:c r="A6" s="4"/>
      <x:c r="B6" s="7" t="str">
        <x:v>Risk-free rate</x:v>
      </x:c>
      <x:c r="C6" s="221" t="n">
        <x:v>0.0463</x:v>
      </x:c>
      <x:c r="D6" s="7" t="str">
        <x:v>10-year U.S. Treasury, 5 Aug 2026</x:v>
      </x:c>
      <x:c r="E6" s="7" t="str">
        <x:v>C06</x:v>
      </x:c>
      <x:c r="F6" s="4"/>
      <x:c r="G6" s="4"/>
    </x:row>
    <x:row r="7" ht="23" customHeight="1">
      <x:c r="A7" s="4"/>
      <x:c r="B7" s="7" t="str">
        <x:v>U.S. implied equity risk premium</x:v>
      </x:c>
      <x:c r="C7" s="221" t="n">
        <x:v>0.0423</x:v>
      </x:c>
      <x:c r="D7" s="7" t="str">
        <x:v>Damodaran 2025 annual estimate</x:v>
      </x:c>
      <x:c r="E7" s="7" t="str">
        <x:v>C07; page updated Jan 2026</x:v>
      </x:c>
      <x:c r="F7" s="4"/>
      <x:c r="G7" s="4"/>
    </x:row>
    <x:row r="8" ht="57" customHeight="1">
      <x:c r="A8" s="4"/>
      <x:c r="B8" s="7" t="str">
        <x:v>Company operating-risk beta assumption</x:v>
      </x:c>
      <x:c r="C8" s="224" t="n">
        <x:v>1.75</x:v>
      </x:c>
      <x:c r="D8" s="7" t="str">
        <x:v>Analyst risk assumption at zero funded debt</x:v>
      </x:c>
      <x:c r="E8" s="7" t="str">
        <x:v>1.75 is a judgment about CAVA's systematic risk. It is not a reproduced provider observation or regression. The 50% weight is also an assumption.</x:v>
      </x:c>
      <x:c r="F8" s="4"/>
      <x:c r="G8" s="4"/>
    </x:row>
    <x:row r="9" ht="57" customHeight="1">
      <x:c r="A9" s="4"/>
      <x:c r="B9" s="7" t="str">
        <x:v>Restaurant operating-asset beta</x:v>
      </x:c>
      <x:c r="C9" s="224" t="n">
        <x:v>0.78</x:v>
      </x:c>
      <x:c r="D9" s="7" t="str">
        <x:v>Industry unlevered beta, corrected for cash; Jan 2026</x:v>
      </x:c>
      <x:c r="E9" s="7" t="str">
        <x:v>C05</x:v>
      </x:c>
      <x:c r="F9" s="4"/>
      <x:c r="G9" s="4"/>
    </x:row>
    <x:row r="10" ht="57" customHeight="1">
      <x:c r="A10" s="4"/>
      <x:c r="B10" s="7" t="str">
        <x:v>Weight on company risk estimate</x:v>
      </x:c>
      <x:c r="C10" s="221" t="n">
        <x:v>0.5</x:v>
      </x:c>
      <x:c r="D10" s="7" t="str">
        <x:v>Analyst blend to reduce single-estimate noise</x:v>
      </x:c>
      <x:c r="E10" s="7" t="str">
        <x:v>Estimate</x:v>
      </x:c>
      <x:c r="F10" s="4"/>
      <x:c r="G10" s="4"/>
    </x:row>
    <x:row r="11" ht="57" customHeight="1">
      <x:c r="A11" s="4"/>
      <x:c r="B11" s="7" t="str">
        <x:v>Selected beta</x:v>
      </x:c>
      <x:c r="C11" s="187" t="n">
        <x:f>C8*C10+C9*(1-C10)</x:f>
        <x:v>1.2650000000000001</x:v>
      </x:c>
      <x:c r="D11" s="7" t="str">
        <x:v>Company risk assumption × 50% + industry operating beta × 50%</x:v>
      </x:c>
      <x:c r="E11" s="7" t="str">
        <x:v>Derived</x:v>
      </x:c>
      <x:c r="F11" s="4"/>
      <x:c r="G11" s="4"/>
    </x:row>
    <x:row r="12" ht="23" customHeight="1">
      <x:c r="A12" s="4"/>
      <x:c r="B12" s="7" t="str">
        <x:v>Cost of equity</x:v>
      </x:c>
      <x:c r="C12" s="222" t="n">
        <x:f>C6+C11*C7</x:f>
        <x:v>0.0998095</x:v>
      </x:c>
      <x:c r="D12" s="7" t="str">
        <x:v>Risk-free + beta × ERP</x:v>
      </x:c>
      <x:c r="E12" s="7" t="str">
        <x:v>Derived</x:v>
      </x:c>
      <x:c r="F12" s="4"/>
      <x:c r="G12" s="4"/>
    </x:row>
    <x:row r="13" ht="28" customHeight="1">
      <x:c r="A13" s="4"/>
      <x:c r="B13" s="7" t="str">
        <x:v>Market capitalization</x:v>
      </x:c>
      <x:c r="C13" s="189" t="n">
        <x:f>'Assumptions'!G6*'Assumptions'!C6</x:f>
        <x:v>7707.07505152</x:v>
      </x:c>
      <x:c r="D13" s="7" t="str">
        <x:v>Current basic shares × 5 Aug 2026 close</x:v>
      </x:c>
      <x:c r="E13" s="7" t="str">
        <x:v>C02 / C09; derived</x:v>
      </x:c>
      <x:c r="F13" s="4"/>
      <x:c r="G13" s="4"/>
    </x:row>
    <x:row r="14" ht="23" customHeight="1">
      <x:c r="A14" s="4"/>
      <x:c r="B14" s="7" t="str">
        <x:v>Funded debt</x:v>
      </x:c>
      <x:c r="C14" s="189" t="n">
        <x:f>'Assumptions'!C12</x:f>
        <x:v>0</x:v>
      </x:c>
      <x:c r="D14" s="7" t="str">
        <x:v>Q1 FY2026</x:v>
      </x:c>
      <x:c r="E14" s="7" t="str">
        <x:v>C02</x:v>
      </x:c>
      <x:c r="F14" s="4"/>
      <x:c r="G14" s="4"/>
    </x:row>
    <x:row r="15" ht="57" customHeight="1">
      <x:c r="A15" s="4"/>
      <x:c r="B15" s="7" t="str">
        <x:v>Pre-tax cost of debt</x:v>
      </x:c>
      <x:c r="C15" s="221" t="n">
        <x:v>0</x:v>
      </x:c>
      <x:c r="D15" s="7" t="str">
        <x:v>No funded debt at the source date. Update this borrowing-cost assumption if funded debt is introduced.</x:v>
      </x:c>
      <x:c r="E15" s="7" t="str">
        <x:v>N/M</x:v>
      </x:c>
      <x:c r="F15" s="4"/>
      <x:c r="G15" s="4"/>
    </x:row>
    <x:row r="16" ht="23" customHeight="1">
      <x:c r="A16" s="4"/>
      <x:c r="B16" s="7" t="str">
        <x:v>After-tax cost of debt</x:v>
      </x:c>
      <x:c r="C16" s="223" t="n">
        <x:f>C15*(1-'Assumptions'!$C$13)</x:f>
        <x:v>0</x:v>
      </x:c>
      <x:c r="D16" s="7" t="str">
        <x:v>Cost of debt × (1 − tax)</x:v>
      </x:c>
      <x:c r="E16" s="7" t="str">
        <x:v>N/M</x:v>
      </x:c>
      <x:c r="F16" s="4"/>
      <x:c r="G16" s="4"/>
    </x:row>
    <x:row r="17" ht="23" customHeight="1">
      <x:c r="A17" s="4"/>
      <x:c r="B17" s="7" t="str">
        <x:v>Equity weight</x:v>
      </x:c>
      <x:c r="C17" s="222" t="n">
        <x:f>C13/(C13+C14)</x:f>
        <x:v>1</x:v>
      </x:c>
      <x:c r="D17" s="7" t="str">
        <x:v>E / (D + E)</x:v>
      </x:c>
      <x:c r="E17" s="7" t="str">
        <x:v>Derived</x:v>
      </x:c>
      <x:c r="F17" s="4"/>
      <x:c r="G17" s="4"/>
    </x:row>
    <x:row r="18" ht="23" customHeight="1">
      <x:c r="A18" s="4"/>
      <x:c r="B18" s="7" t="str">
        <x:v>Debt weight</x:v>
      </x:c>
      <x:c r="C18" s="222" t="n">
        <x:f>C14/(C13+C14)</x:f>
        <x:v>0</x:v>
      </x:c>
      <x:c r="D18" s="7" t="str">
        <x:v>D / (D + E)</x:v>
      </x:c>
      <x:c r="E18" s="7" t="str">
        <x:v>Derived</x:v>
      </x:c>
      <x:c r="F18" s="4"/>
      <x:c r="G18" s="4"/>
    </x:row>
    <x:row r="19" ht="23" customHeight="1">
      <x:c r="A19" s="4"/>
      <x:c r="B19" s="191"/>
      <x:c r="C19" s="191"/>
      <x:c r="D19" s="191"/>
      <x:c r="E19" s="191"/>
      <x:c r="F19" s="4"/>
      <x:c r="G19" s="4"/>
    </x:row>
    <x:row r="20" ht="23" customHeight="1">
      <x:c r="A20" s="4"/>
      <x:c r="B20" s="7" t="str">
        <x:v>Selected WACC</x:v>
      </x:c>
      <x:c r="C20" s="191"/>
      <x:c r="D20" s="191"/>
      <x:c r="E20" s="191"/>
      <x:c r="F20" s="4"/>
      <x:c r="G20" s="4"/>
    </x:row>
    <x:row r="21" ht="23" customHeight="1">
      <x:c r="A21" s="4"/>
      <x:c r="B21" s="7" t="str">
        <x:v>WACC</x:v>
      </x:c>
      <x:c r="C21" s="222" t="n">
        <x:f>IF(AND(C14&gt;0,C15&lt;=0),"INPUT REQUIRED: positive debt needs borrowing cost",C12*C17+C16*C18)</x:f>
        <x:v>0.0998095</x:v>
      </x:c>
      <x:c r="D21" s="191"/>
      <x:c r="E21" s="191"/>
      <x:c r="F21" s="4"/>
      <x:c r="G21" s="4"/>
    </x:row>
    <x:row r="22" ht="28" customHeight="1">
      <x:c r="A22" s="4"/>
      <x:c r="B22" s="7" t="str">
        <x:v>Formula</x:v>
      </x:c>
      <x:c r="C22" s="7" t="str">
        <x:v>Cost of equity × equity weight + after-tax cost of debt × debt weight</x:v>
      </x:c>
      <x:c r="D22" s="191"/>
      <x:c r="E22" s="191"/>
      <x:c r="F22" s="4"/>
      <x:c r="G22" s="4"/>
    </x:row>
    <x:row r="23" ht="23" customHeight="1">
      <x:c r="A23" s="4"/>
      <x:c r="B23" s="4"/>
      <x:c r="C23" s="4"/>
      <x:c r="D23" s="4"/>
      <x:c r="E23" s="4"/>
      <x:c r="F23" s="4"/>
      <x:c r="G23" s="4"/>
    </x:row>
    <x:row r="24" ht="23" customHeight="1">
      <x:c r="A24" s="4"/>
      <x:c r="B24" s="4"/>
      <x:c r="C24" s="4"/>
      <x:c r="D24" s="4"/>
      <x:c r="E24" s="4"/>
      <x:c r="F24" s="4"/>
      <x:c r="G24" s="4"/>
    </x:row>
    <x:row r="25" ht="65" customHeight="1">
      <x:c r="A25" s="4"/>
      <x:c r="B25" s="44" t="str">
        <x:v>The industry comparison is unlevered and cash corrected before blending. CAVA has no funded debt. Rent remains an operating</x:v>
      </x:c>
      <x:c r="C25" s="26"/>
      <x:c r="D25" s="26"/>
      <x:c r="E25" s="26"/>
      <x:c r="F25" s="26"/>
      <x:c r="G25" s="26"/>
    </x:row>
    <x:row r="26" ht="24" customHeight="1">
      <x:c r="A26" s="4"/>
      <x:c r="B26" s="45" t="str">
        <x:v>expense throughout the model. Industry lease and business-mix differences limit comparability.</x:v>
      </x:c>
      <x:c r="C26" s="4"/>
      <x:c r="D26" s="4"/>
      <x:c r="E26" s="4"/>
      <x:c r="F26" s="4"/>
      <x:c r="G26" s="4"/>
    </x:row>
    <x:row r="27" ht="23" customHeight="1">
      <x:c r="A27" s="4"/>
      <x:c r="B27" s="4"/>
      <x:c r="C27" s="4"/>
      <x:c r="D27" s="4"/>
      <x:c r="E27" s="4"/>
      <x:c r="F27" s="4"/>
      <x:c r="G27" s="4"/>
    </x:row>
    <x:row r="28" ht="23" customHeight="1">
      <x:c r="A28" s="4"/>
      <x:c r="B28" s="4"/>
      <x:c r="C28" s="4"/>
      <x:c r="D28" s="4"/>
      <x:c r="E28" s="4"/>
      <x:c r="F28" s="4"/>
      <x:c r="G28" s="4"/>
    </x:row>
    <x:row r="29" ht="23" customHeight="1">
      <x:c r="A29" s="4"/>
      <x:c r="B29" s="4"/>
      <x:c r="C29" s="4"/>
      <x:c r="D29" s="4"/>
      <x:c r="E29" s="4"/>
      <x:c r="F29" s="4"/>
      <x:c r="G29" s="4"/>
    </x:row>
    <x:row r="30" ht="23" customHeight="1">
      <x:c r="A30" s="4"/>
      <x:c r="B30" s="4"/>
      <x:c r="C30" s="4"/>
      <x:c r="D30" s="4"/>
      <x:c r="E30" s="4"/>
      <x:c r="F30" s="4"/>
      <x:c r="G30" s="4"/>
    </x:row>
  </x:sheetData>
  <x:pageMargins left="0.7" right="0.7" top="0.75" bottom="0.75" header="0.3" footer="0.3"/>
</x:worksheet>
</file>

<file path=xl/worksheets/sheet10.xml><?xml version="1.0" encoding="utf-8"?>
<x:worksheet xmlns:x="http://schemas.openxmlformats.org/spreadsheetml/2006/main">
  <x:sheetPr>
    <x:tabColor rgb="FFD6C6B0"/>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31" customHeight="1">
      <x:c r="A1" s="7"/>
      <x:c r="B1" s="22" t="str">
        <x:v>CAVA, Historical Financials and Operating KPIs</x:v>
      </x:c>
      <x:c r="C1" s="22"/>
      <x:c r="D1" s="22"/>
      <x:c r="E1" s="22"/>
      <x:c r="F1" s="22"/>
      <x:c r="G1" s="22"/>
      <x:c r="H1" s="22"/>
      <x:c r="I1" s="22"/>
      <x:c r="J1" s="22"/>
    </x:row>
    <x:row r="2" ht="34" customHeight="1">
      <x:c r="A2" s="7"/>
      <x:c r="B2" s="26" t="str">
        <x:v>FY2021-FY2025. Reported unless labeled calculated. USD millions except restaurants, AUV and shares.</x:v>
      </x:c>
      <x:c r="C2" s="26"/>
      <x:c r="D2" s="26"/>
      <x:c r="E2" s="26"/>
      <x:c r="F2" s="26"/>
      <x:c r="G2" s="26"/>
      <x:c r="H2" s="26"/>
      <x:c r="I2" s="26"/>
      <x:c r="J2" s="26"/>
    </x:row>
    <x:row r="3" ht="23" customHeight="1">
      <x:c r="A3" s="4"/>
      <x:c r="B3" s="4"/>
      <x:c r="C3" s="4"/>
      <x:c r="D3" s="4"/>
      <x:c r="E3" s="4"/>
      <x:c r="F3" s="4"/>
      <x:c r="G3" s="4"/>
      <x:c r="H3" s="4"/>
      <x:c r="I3" s="4"/>
      <x:c r="J3" s="4"/>
    </x:row>
    <x:row r="4" ht="25" customHeight="1">
      <x:c r="A4" s="4"/>
      <x:c r="B4" s="57" t="str">
        <x:v>Consolidated Financial and Cash-Flow History</x:v>
      </x:c>
      <x:c r="C4" s="58"/>
      <x:c r="D4" s="58"/>
      <x:c r="E4" s="58"/>
      <x:c r="F4" s="58"/>
      <x:c r="G4" s="58"/>
      <x:c r="H4" s="58"/>
      <x:c r="I4" s="58"/>
      <x:c r="J4" s="58"/>
    </x:row>
    <x:row r="5" ht="34" customHeight="1">
      <x:c r="A5" s="4"/>
      <x:c r="B5" s="40" t="str">
        <x:v>Metric</x:v>
      </x:c>
      <x:c r="C5" s="40" t="str">
        <x:v>FY2021A</x:v>
      </x:c>
      <x:c r="D5" s="40" t="str">
        <x:v>FY2022A</x:v>
      </x:c>
      <x:c r="E5" s="40" t="str">
        <x:v>FY2023A</x:v>
      </x:c>
      <x:c r="F5" s="40" t="str">
        <x:v>FY2024A</x:v>
      </x:c>
      <x:c r="G5" s="40" t="str">
        <x:v>FY2025A</x:v>
      </x:c>
      <x:c r="H5" s="40" t="str">
        <x:v>Status</x:v>
      </x:c>
      <x:c r="I5" s="40" t="str">
        <x:v>Source ID</x:v>
      </x:c>
      <x:c r="J5" s="40" t="str">
        <x:v>Accounting notes
FY2024 net income includes a large tax benefit. Operating profit and cash flow are better for comparing years. Estimated restaurant gross profit includes small non-restaurant revenue. Restaurant-level profit excludes corporate costs and differs from company EBIT. Pre-IPO diluted shares are marked N/M because they are not comparable with later years. Working-capital changes exclude lease asset and liability movements.</x:v>
      </x:c>
    </x:row>
    <x:row r="6" ht="23" customHeight="1">
      <x:c r="A6" s="4"/>
      <x:c r="B6" s="6" t="str">
        <x:v>Revenue</x:v>
      </x:c>
      <x:c r="C6" s="98" t="n">
        <x:v>500.072</x:v>
      </x:c>
      <x:c r="D6" s="98" t="n">
        <x:v>564.119</x:v>
      </x:c>
      <x:c r="E6" s="98" t="n">
        <x:v>728.7</x:v>
      </x:c>
      <x:c r="F6" s="98" t="n">
        <x:v>963.713</x:v>
      </x:c>
      <x:c r="G6" s="98" t="n">
        <x:v>1179.664</x:v>
      </x:c>
      <x:c r="H6" s="6" t="str">
        <x:v>Reported</x:v>
      </x:c>
      <x:c r="I6" s="6" t="str">
        <x:v>C01/C04</x:v>
      </x:c>
      <x:c r="J6" s="4"/>
    </x:row>
    <x:row r="7" ht="23" customHeight="1">
      <x:c r="A7" s="4"/>
      <x:c r="B7" s="6" t="str">
        <x:v>Food, beverage &amp; packaging</x:v>
      </x:c>
      <x:c r="C7" s="98" t="n">
        <x:v>154.772</x:v>
      </x:c>
      <x:c r="D7" s="98" t="n">
        <x:v>179.988</x:v>
      </x:c>
      <x:c r="E7" s="98" t="n">
        <x:v>213.458</x:v>
      </x:c>
      <x:c r="F7" s="98" t="n">
        <x:v>284.743</x:v>
      </x:c>
      <x:c r="G7" s="98" t="n">
        <x:v>352.778</x:v>
      </x:c>
      <x:c r="H7" s="6" t="str">
        <x:v>Reported</x:v>
      </x:c>
      <x:c r="I7" s="6" t="str">
        <x:v>C01/C04</x:v>
      </x:c>
      <x:c r="J7" s="4"/>
    </x:row>
    <x:row r="8" ht="23" customHeight="1">
      <x:c r="A8" s="4"/>
      <x:c r="B8" s="6" t="str">
        <x:v>Labor</x:v>
      </x:c>
      <x:c r="C8" s="98" t="n">
        <x:v>143.395</x:v>
      </x:c>
      <x:c r="D8" s="98" t="n">
        <x:v>157.891</x:v>
      </x:c>
      <x:c r="E8" s="98" t="n">
        <x:v>187.326</x:v>
      </x:c>
      <x:c r="F8" s="98" t="n">
        <x:v>247.49</x:v>
      </x:c>
      <x:c r="G8" s="98" t="n">
        <x:v>301.861</x:v>
      </x:c>
      <x:c r="H8" s="6" t="str">
        <x:v>Reported</x:v>
      </x:c>
      <x:c r="I8" s="6" t="str">
        <x:v>C01/C04</x:v>
      </x:c>
      <x:c r="J8" s="4"/>
    </x:row>
    <x:row r="9" ht="23" customHeight="1">
      <x:c r="A9" s="4"/>
      <x:c r="B9" s="6" t="str">
        <x:v>Occupancy</x:v>
      </x:c>
      <x:c r="C9" s="98" t="n">
        <x:v>49.299</x:v>
      </x:c>
      <x:c r="D9" s="98" t="n">
        <x:v>53.669</x:v>
      </x:c>
      <x:c r="E9" s="98" t="n">
        <x:v>58.319</x:v>
      </x:c>
      <x:c r="F9" s="98" t="n">
        <x:v>69.851</x:v>
      </x:c>
      <x:c r="G9" s="98" t="n">
        <x:v>83.576</x:v>
      </x:c>
      <x:c r="H9" s="6" t="str">
        <x:v>Reported</x:v>
      </x:c>
      <x:c r="I9" s="6" t="str">
        <x:v>C01/C04</x:v>
      </x:c>
      <x:c r="J9" s="4"/>
    </x:row>
    <x:row r="10" ht="28" customHeight="1">
      <x:c r="A10" s="4"/>
      <x:c r="B10" s="7" t="str">
        <x:v>Other restaurant operating expense</x:v>
      </x:c>
      <x:c r="C10" s="98" t="n">
        <x:v>70.453</x:v>
      </x:c>
      <x:c r="D10" s="98" t="n">
        <x:v>74.587</x:v>
      </x:c>
      <x:c r="E10" s="98" t="n">
        <x:v>89.251</x:v>
      </x:c>
      <x:c r="F10" s="98" t="n">
        <x:v>119.824</x:v>
      </x:c>
      <x:c r="G10" s="98" t="n">
        <x:v>150.982</x:v>
      </x:c>
      <x:c r="H10" s="6" t="str">
        <x:v>Reported</x:v>
      </x:c>
      <x:c r="I10" s="6" t="str">
        <x:v>C01/C04</x:v>
      </x:c>
      <x:c r="J10" s="4"/>
    </x:row>
    <x:row r="11" ht="28" customHeight="1">
      <x:c r="A11" s="4"/>
      <x:c r="B11" s="7" t="str">
        <x:v>Total restaurant operating expense</x:v>
      </x:c>
      <x:c r="C11" s="98" t="n">
        <x:v>417.919</x:v>
      </x:c>
      <x:c r="D11" s="98" t="n">
        <x:v>466.135</x:v>
      </x:c>
      <x:c r="E11" s="98" t="n">
        <x:v>548.354</x:v>
      </x:c>
      <x:c r="F11" s="98" t="n">
        <x:v>721.908</x:v>
      </x:c>
      <x:c r="G11" s="98" t="n">
        <x:v>889.197</x:v>
      </x:c>
      <x:c r="H11" s="6" t="str">
        <x:v>Reported</x:v>
      </x:c>
      <x:c r="I11" s="6" t="str">
        <x:v>C01/C04</x:v>
      </x:c>
      <x:c r="J11" s="4"/>
    </x:row>
    <x:row r="12" ht="28" customHeight="1">
      <x:c r="A12" s="4"/>
      <x:c r="B12" s="7" t="str">
        <x:v>Estimated restaurant gross profit</x:v>
      </x:c>
      <x:c r="C12" s="96" t="n">
        <x:f>C6-C11</x:f>
        <x:v>82.15300000000002</x:v>
      </x:c>
      <x:c r="D12" s="96" t="n">
        <x:f>D6-D11</x:f>
        <x:v>97.98400000000004</x:v>
      </x:c>
      <x:c r="E12" s="96" t="n">
        <x:f>E6-E11</x:f>
        <x:v>180.346</x:v>
      </x:c>
      <x:c r="F12" s="96" t="n">
        <x:f>F6-F11</x:f>
        <x:v>241.80499999999995</x:v>
      </x:c>
      <x:c r="G12" s="96" t="n">
        <x:f>G6-G11</x:f>
        <x:v>290.467</x:v>
      </x:c>
      <x:c r="H12" s="7" t="str">
        <x:v>Derived: revenue less restaurant opex</x:v>
      </x:c>
      <x:c r="I12" s="6" t="str">
        <x:v>C01/C04</x:v>
      </x:c>
      <x:c r="J12" s="4"/>
    </x:row>
    <x:row r="13" ht="28" customHeight="1">
      <x:c r="A13" s="4"/>
      <x:c r="B13" s="7" t="str">
        <x:v>Estimated restaurant gross margin</x:v>
      </x:c>
      <x:c r="C13" s="139" t="n">
        <x:f>C12/C6</x:f>
        <x:v>0.1642823433425587</x:v>
      </x:c>
      <x:c r="D13" s="139" t="n">
        <x:f>D12/D6</x:f>
        <x:v>0.17369384828378415</x:v>
      </x:c>
      <x:c r="E13" s="139" t="n">
        <x:f>E12/E6</x:f>
        <x:v>0.24749005077535335</x:v>
      </x:c>
      <x:c r="F13" s="139" t="n">
        <x:f>F12/F6</x:f>
        <x:v>0.25090976255378933</x:v>
      </x:c>
      <x:c r="G13" s="139" t="n">
        <x:f>G12/G6</x:f>
        <x:v>0.24622858712311302</x:v>
      </x:c>
      <x:c r="H13" s="6" t="str">
        <x:v>Derived</x:v>
      </x:c>
      <x:c r="I13" s="6" t="str">
        <x:v>C01/C04</x:v>
      </x:c>
      <x:c r="J13" s="4"/>
    </x:row>
    <x:row r="14" ht="23" customHeight="1">
      <x:c r="A14" s="4"/>
      <x:c r="B14" s="6" t="str">
        <x:v>General &amp; administrative</x:v>
      </x:c>
      <x:c r="C14" s="98" t="n">
        <x:v>64.792</x:v>
      </x:c>
      <x:c r="D14" s="98" t="n">
        <x:v>70.037</x:v>
      </x:c>
      <x:c r="E14" s="98" t="n">
        <x:v>101.491</x:v>
      </x:c>
      <x:c r="F14" s="98" t="n">
        <x:v>120.5</x:v>
      </x:c>
      <x:c r="G14" s="98" t="n">
        <x:v>137.462</x:v>
      </x:c>
      <x:c r="H14" s="6" t="str">
        <x:v>Reported</x:v>
      </x:c>
      <x:c r="I14" s="6" t="str">
        <x:v>C01/C04</x:v>
      </x:c>
      <x:c r="J14" s="4"/>
    </x:row>
    <x:row r="15" ht="23" customHeight="1">
      <x:c r="A15" s="4"/>
      <x:c r="B15" s="6" t="str">
        <x:v>Depreciation &amp; amortization</x:v>
      </x:c>
      <x:c r="C15" s="98" t="n">
        <x:v>44.538</x:v>
      </x:c>
      <x:c r="D15" s="98" t="n">
        <x:v>42.724</x:v>
      </x:c>
      <x:c r="E15" s="98" t="n">
        <x:v>47.433</x:v>
      </x:c>
      <x:c r="F15" s="98" t="n">
        <x:v>60.355</x:v>
      </x:c>
      <x:c r="G15" s="98" t="n">
        <x:v>73.661</x:v>
      </x:c>
      <x:c r="H15" s="6" t="str">
        <x:v>Reported</x:v>
      </x:c>
      <x:c r="I15" s="6" t="str">
        <x:v>C01/C04</x:v>
      </x:c>
      <x:c r="J15" s="4"/>
    </x:row>
    <x:row r="16" ht="80" customHeight="1">
      <x:c r="A16" s="4"/>
      <x:c r="B16" s="6" t="str">
        <x:v>Restructuring &amp; other</x:v>
      </x:c>
      <x:c r="C16" s="98" t="n">
        <x:v>6.839</x:v>
      </x:c>
      <x:c r="D16" s="98" t="n">
        <x:v>5.923</x:v>
      </x:c>
      <x:c r="E16" s="98" t="n">
        <x:v>6.08</x:v>
      </x:c>
      <x:c r="F16" s="98" t="n">
        <x:v>0.58</x:v>
      </x:c>
      <x:c r="G16" s="98" t="n">
        <x:v>0</x:v>
      </x:c>
      <x:c r="H16" s="6" t="str">
        <x:v>Reported</x:v>
      </x:c>
      <x:c r="I16" s="6" t="str">
        <x:v>C01/C04</x:v>
      </x:c>
      <x:c r="J16" s="7" t="str">
        <x:v>Latest reported results
Q1 FY2026 ended 19 April with $438.3m revenue, 459 restaurants and 20 net openings. Same-restaurant sales rose 9.7%: traffic 6.8% and price/mix 2.9%. AUV was $3.027m, restaurant margin 25.1%, adjusted EBITDA $61.7m, operating cash flow $64.1m and capex $48.6m. FY2026 guidance was 75-77 openings, 4.5%-6.5% same-restaurant sales growth and 23.7%-24.3% restaurant margin. Q2 results were due 11 August, after the valuation date.</x:v>
      </x:c>
    </x:row>
    <x:row r="17" ht="23" customHeight="1">
      <x:c r="A17" s="4"/>
      <x:c r="B17" s="6" t="str">
        <x:v>Pre-opening costs</x:v>
      </x:c>
      <x:c r="C17" s="98" t="n">
        <x:v>8.194</x:v>
      </x:c>
      <x:c r="D17" s="98" t="n">
        <x:v>19.313</x:v>
      </x:c>
      <x:c r="E17" s="98" t="n">
        <x:v>15.718</x:v>
      </x:c>
      <x:c r="F17" s="98" t="n">
        <x:v>12.197</x:v>
      </x:c>
      <x:c r="G17" s="98" t="n">
        <x:v>19.134</x:v>
      </x:c>
      <x:c r="H17" s="6" t="str">
        <x:v>Reported</x:v>
      </x:c>
      <x:c r="I17" s="6" t="str">
        <x:v>C01/C04</x:v>
      </x:c>
      <x:c r="J17" s="4"/>
    </x:row>
    <x:row r="18" ht="23" customHeight="1">
      <x:c r="A18" s="4"/>
      <x:c r="B18" s="6" t="str">
        <x:v>Impairment &amp; asset disposal</x:v>
      </x:c>
      <x:c r="C18" s="98" t="n">
        <x:v>10.542</x:v>
      </x:c>
      <x:c r="D18" s="98" t="n">
        <x:v>19.753</x:v>
      </x:c>
      <x:c r="E18" s="98" t="n">
        <x:v>4.899</x:v>
      </x:c>
      <x:c r="F18" s="98" t="n">
        <x:v>5.055</x:v>
      </x:c>
      <x:c r="G18" s="98" t="n">
        <x:v>4.925</x:v>
      </x:c>
      <x:c r="H18" s="6" t="str">
        <x:v>Reported</x:v>
      </x:c>
      <x:c r="I18" s="6" t="str">
        <x:v>C01/C04</x:v>
      </x:c>
      <x:c r="J18" s="4"/>
    </x:row>
    <x:row r="19" ht="23" customHeight="1">
      <x:c r="A19" s="4"/>
      <x:c r="B19" s="6" t="str">
        <x:v>Operating income / (loss)</x:v>
      </x:c>
      <x:c r="C19" s="98" t="n">
        <x:v>-52.752</x:v>
      </x:c>
      <x:c r="D19" s="98" t="n">
        <x:v>-59.766</x:v>
      </x:c>
      <x:c r="E19" s="98" t="n">
        <x:v>4.725</x:v>
      </x:c>
      <x:c r="F19" s="98" t="n">
        <x:v>43.118</x:v>
      </x:c>
      <x:c r="G19" s="98" t="n">
        <x:v>55.285</x:v>
      </x:c>
      <x:c r="H19" s="6" t="str">
        <x:v>Reported</x:v>
      </x:c>
      <x:c r="I19" s="6" t="str">
        <x:v>C01/C04</x:v>
      </x:c>
      <x:c r="J19" s="4"/>
    </x:row>
    <x:row r="20" ht="23" customHeight="1">
      <x:c r="A20" s="4"/>
      <x:c r="B20" s="6" t="str">
        <x:v>Operating margin</x:v>
      </x:c>
      <x:c r="C20" s="139" t="n">
        <x:f>C19/C6</x:f>
        <x:v>-0.10548880961141596</x:v>
      </x:c>
      <x:c r="D20" s="139" t="n">
        <x:f>D19/D6</x:f>
        <x:v>-0.10594573130846505</x:v>
      </x:c>
      <x:c r="E20" s="139" t="n">
        <x:f>E19/E6</x:f>
        <x:v>0.00648414985590778</x:v>
      </x:c>
      <x:c r="F20" s="139" t="n">
        <x:f>F19/F6</x:f>
        <x:v>0.044741536121231114</x:v>
      </x:c>
      <x:c r="G20" s="139" t="n">
        <x:f>G19/G6</x:f>
        <x:v>0.04686503953668163</x:v>
      </x:c>
      <x:c r="H20" s="6" t="str">
        <x:v>Derived</x:v>
      </x:c>
      <x:c r="I20" s="6" t="str">
        <x:v>C01/C04</x:v>
      </x:c>
      <x:c r="J20" s="4"/>
    </x:row>
    <x:row r="21" ht="28" customHeight="1">
      <x:c r="A21" s="4"/>
      <x:c r="B21" s="6" t="str">
        <x:v>Net income / (loss)</x:v>
      </x:c>
      <x:c r="C21" s="98" t="n">
        <x:v>-37.391</x:v>
      </x:c>
      <x:c r="D21" s="98" t="n">
        <x:v>-58.987</x:v>
      </x:c>
      <x:c r="E21" s="98" t="n">
        <x:v>13.28</x:v>
      </x:c>
      <x:c r="F21" s="98" t="n">
        <x:v>130.319</x:v>
      </x:c>
      <x:c r="G21" s="98" t="n">
        <x:v>63.743</x:v>
      </x:c>
      <x:c r="H21" s="7" t="str">
        <x:v>Reported; FY2024 includes tax benefit</x:v>
      </x:c>
      <x:c r="I21" s="6" t="str">
        <x:v>C01/C04</x:v>
      </x:c>
      <x:c r="J21" s="4"/>
    </x:row>
    <x:row r="22" ht="23" customHeight="1">
      <x:c r="A22" s="4"/>
      <x:c r="B22" s="6" t="str">
        <x:v>Cash flow from operations</x:v>
      </x:c>
      <x:c r="C22" s="98" t="n">
        <x:v>3.393</x:v>
      </x:c>
      <x:c r="D22" s="98" t="n">
        <x:v>6.038</x:v>
      </x:c>
      <x:c r="E22" s="98" t="n">
        <x:v>97.101</x:v>
      </x:c>
      <x:c r="F22" s="98" t="n">
        <x:v>161.027</x:v>
      </x:c>
      <x:c r="G22" s="98" t="n">
        <x:v>184.84</x:v>
      </x:c>
      <x:c r="H22" s="6" t="str">
        <x:v>Reported</x:v>
      </x:c>
      <x:c r="I22" s="6" t="str">
        <x:v>C01/C04</x:v>
      </x:c>
      <x:c r="J22" s="4"/>
    </x:row>
    <x:row r="23" ht="28" customHeight="1">
      <x:c r="A23" s="4"/>
      <x:c r="B23" s="7" t="str">
        <x:v>Purchases of property &amp; equipment</x:v>
      </x:c>
      <x:c r="C23" s="98" t="n">
        <x:v>56.309</x:v>
      </x:c>
      <x:c r="D23" s="98" t="n">
        <x:v>104.161</x:v>
      </x:c>
      <x:c r="E23" s="98" t="n">
        <x:v>138.806</x:v>
      </x:c>
      <x:c r="F23" s="98" t="n">
        <x:v>108.131</x:v>
      </x:c>
      <x:c r="G23" s="98" t="n">
        <x:v>158.699</x:v>
      </x:c>
      <x:c r="H23" s="6" t="str">
        <x:v>Reported</x:v>
      </x:c>
      <x:c r="I23" s="6" t="str">
        <x:v>C01/C04</x:v>
      </x:c>
      <x:c r="J23" s="4"/>
    </x:row>
    <x:row r="24" ht="23" customHeight="1">
      <x:c r="A24" s="4"/>
      <x:c r="B24" s="6" t="str">
        <x:v>Free cash flow = CFO − capex</x:v>
      </x:c>
      <x:c r="C24" s="96" t="n">
        <x:f>C22-C23</x:f>
        <x:v>-52.916</x:v>
      </x:c>
      <x:c r="D24" s="96" t="n">
        <x:f>D22-D23</x:f>
        <x:v>-98.123</x:v>
      </x:c>
      <x:c r="E24" s="96" t="n">
        <x:f>E22-E23</x:f>
        <x:v>-41.70500000000001</x:v>
      </x:c>
      <x:c r="F24" s="96" t="n">
        <x:f>F22-F23</x:f>
        <x:v>52.89599999999999</x:v>
      </x:c>
      <x:c r="G24" s="96" t="n">
        <x:f>G22-G23</x:f>
        <x:v>26.14099999999999</x:v>
      </x:c>
      <x:c r="H24" s="6" t="str">
        <x:v>Derived, not FCFF</x:v>
      </x:c>
      <x:c r="I24" s="6" t="str">
        <x:v>C01/C04</x:v>
      </x:c>
      <x:c r="J24" s="4"/>
    </x:row>
    <x:row r="25" ht="23" customHeight="1">
      <x:c r="A25" s="4"/>
      <x:c r="B25" s="6" t="str">
        <x:v>Stock-based compensation</x:v>
      </x:c>
      <x:c r="C25" s="98" t="n">
        <x:v>5.351</x:v>
      </x:c>
      <x:c r="D25" s="98" t="n">
        <x:v>3.803</x:v>
      </x:c>
      <x:c r="E25" s="98" t="n">
        <x:v>9.36</x:v>
      </x:c>
      <x:c r="F25" s="98" t="n">
        <x:v>13.603</x:v>
      </x:c>
      <x:c r="G25" s="98" t="n">
        <x:v>15.234</x:v>
      </x:c>
      <x:c r="H25" s="6" t="str">
        <x:v>Reported</x:v>
      </x:c>
      <x:c r="I25" s="6" t="str">
        <x:v>C01/C04</x:v>
      </x:c>
      <x:c r="J25" s="4"/>
    </x:row>
    <x:row r="26" ht="23" customHeight="1">
      <x:c r="A26" s="4"/>
      <x:c r="B26" s="6" t="str">
        <x:v>Operating WC cash-flow effect</x:v>
      </x:c>
      <x:c r="C26" s="98" t="n">
        <x:v>0.446</x:v>
      </x:c>
      <x:c r="D26" s="98" t="n">
        <x:v>-6.055</x:v>
      </x:c>
      <x:c r="E26" s="98" t="n">
        <x:v>17.084</x:v>
      </x:c>
      <x:c r="F26" s="98" t="n">
        <x:v>13.258</x:v>
      </x:c>
      <x:c r="G26" s="98" t="n">
        <x:v>1.843</x:v>
      </x:c>
      <x:c r="H26" s="6" t="str">
        <x:v>Derived; excludes lease rows</x:v>
      </x:c>
      <x:c r="I26" s="6" t="str">
        <x:v>C01/C04</x:v>
      </x:c>
      <x:c r="J26" s="4"/>
    </x:row>
    <x:row r="27" ht="28" customHeight="1">
      <x:c r="A27" s="4"/>
      <x:c r="B27" s="6" t="str">
        <x:v>Change in operating NWC</x:v>
      </x:c>
      <x:c r="C27" s="96" t="n">
        <x:f>-C26</x:f>
        <x:v>-0.446</x:v>
      </x:c>
      <x:c r="D27" s="96" t="n">
        <x:f>-D26</x:f>
        <x:v>6.055</x:v>
      </x:c>
      <x:c r="E27" s="96" t="n">
        <x:f>-E26</x:f>
        <x:v>-17.084</x:v>
      </x:c>
      <x:c r="F27" s="96" t="n">
        <x:f>-F26</x:f>
        <x:v>-13.258</x:v>
      </x:c>
      <x:c r="G27" s="96" t="n">
        <x:f>-G26</x:f>
        <x:v>-1.843</x:v>
      </x:c>
      <x:c r="H27" s="7" t="str">
        <x:v>Derived = negative cash-flow effect</x:v>
      </x:c>
      <x:c r="I27" s="6" t="str">
        <x:v>C01/C04</x:v>
      </x:c>
      <x:c r="J27" s="4"/>
    </x:row>
    <x:row r="28" ht="23" customHeight="1">
      <x:c r="A28" s="4"/>
      <x:c r="B28" s="4"/>
      <x:c r="C28" s="4"/>
      <x:c r="D28" s="4"/>
      <x:c r="E28" s="4"/>
      <x:c r="F28" s="4"/>
      <x:c r="G28" s="4"/>
      <x:c r="H28" s="4"/>
      <x:c r="I28" s="4"/>
      <x:c r="J28" s="4"/>
    </x:row>
    <x:row r="29" ht="23" customHeight="1">
      <x:c r="A29" s="4"/>
      <x:c r="B29" s="4"/>
      <x:c r="C29" s="4"/>
      <x:c r="D29" s="4"/>
      <x:c r="E29" s="4"/>
      <x:c r="F29" s="4"/>
      <x:c r="G29" s="4"/>
      <x:c r="H29" s="4"/>
      <x:c r="I29" s="4"/>
      <x:c r="J29" s="4"/>
    </x:row>
    <x:row r="30" ht="25" customHeight="1">
      <x:c r="A30" s="4"/>
      <x:c r="B30" s="57" t="str">
        <x:v>Capital Base and Operating KPIs</x:v>
      </x:c>
      <x:c r="C30" s="58"/>
      <x:c r="D30" s="58"/>
      <x:c r="E30" s="58"/>
      <x:c r="F30" s="58"/>
      <x:c r="G30" s="58"/>
      <x:c r="H30" s="58"/>
      <x:c r="I30" s="58"/>
      <x:c r="J30" s="58"/>
    </x:row>
    <x:row r="31" ht="34" customHeight="1">
      <x:c r="A31" s="4"/>
      <x:c r="B31" s="40" t="str">
        <x:v>Metric</x:v>
      </x:c>
      <x:c r="C31" s="40" t="str">
        <x:v>FY2021A</x:v>
      </x:c>
      <x:c r="D31" s="40" t="str">
        <x:v>FY2022A</x:v>
      </x:c>
      <x:c r="E31" s="40" t="str">
        <x:v>FY2023A</x:v>
      </x:c>
      <x:c r="F31" s="40" t="str">
        <x:v>FY2024A</x:v>
      </x:c>
      <x:c r="G31" s="40" t="str">
        <x:v>FY2025A</x:v>
      </x:c>
      <x:c r="H31" s="40" t="str">
        <x:v>Status</x:v>
      </x:c>
      <x:c r="I31" s="40" t="str">
        <x:v>Source ID</x:v>
      </x:c>
      <x:c r="J31" s="42"/>
    </x:row>
    <x:row r="32" ht="23" customHeight="1">
      <x:c r="A32" s="4"/>
      <x:c r="B32" s="6" t="str">
        <x:v>Cash &amp; cash equivalents</x:v>
      </x:c>
      <x:c r="C32" s="192" t="str">
        <x:v>N/D</x:v>
      </x:c>
      <x:c r="D32" s="192" t="str">
        <x:v>N/D</x:v>
      </x:c>
      <x:c r="E32" s="98" t="n">
        <x:v>332.4</x:v>
      </x:c>
      <x:c r="F32" s="98" t="n">
        <x:v>366.12</x:v>
      </x:c>
      <x:c r="G32" s="98" t="n">
        <x:v>282.917</x:v>
      </x:c>
      <x:c r="H32" s="6" t="str">
        <x:v>Reported where available</x:v>
      </x:c>
      <x:c r="I32" s="6" t="str">
        <x:v>C01/C04</x:v>
      </x:c>
      <x:c r="J32" s="4"/>
    </x:row>
    <x:row r="33" ht="23" customHeight="1">
      <x:c r="A33" s="4"/>
      <x:c r="B33" s="6" t="str">
        <x:v>Investments</x:v>
      </x:c>
      <x:c r="C33" s="98" t="n">
        <x:v>0</x:v>
      </x:c>
      <x:c r="D33" s="98" t="n">
        <x:v>0</x:v>
      </x:c>
      <x:c r="E33" s="98" t="n">
        <x:v>0</x:v>
      </x:c>
      <x:c r="F33" s="98" t="n">
        <x:v>0</x:v>
      </x:c>
      <x:c r="G33" s="98" t="n">
        <x:v>110.112</x:v>
      </x:c>
      <x:c r="H33" s="6" t="str">
        <x:v>Reported</x:v>
      </x:c>
      <x:c r="I33" s="6" t="str">
        <x:v>C01</x:v>
      </x:c>
      <x:c r="J33" s="4"/>
    </x:row>
    <x:row r="34" ht="28" customHeight="1">
      <x:c r="A34" s="4"/>
      <x:c r="B34" s="6" t="str">
        <x:v>Funded debt</x:v>
      </x:c>
      <x:c r="C34" s="192" t="str">
        <x:v>N/D</x:v>
      </x:c>
      <x:c r="D34" s="192" t="str">
        <x:v>N/D</x:v>
      </x:c>
      <x:c r="E34" s="98" t="n">
        <x:v>0</x:v>
      </x:c>
      <x:c r="F34" s="98" t="n">
        <x:v>0</x:v>
      </x:c>
      <x:c r="G34" s="98" t="n">
        <x:v>0</x:v>
      </x:c>
      <x:c r="H34" s="7" t="str">
        <x:v>No year-end funded debt in reviewed periods</x:v>
      </x:c>
      <x:c r="I34" s="6" t="str">
        <x:v>C01/C04</x:v>
      </x:c>
      <x:c r="J34" s="4"/>
    </x:row>
    <x:row r="35" ht="28" customHeight="1">
      <x:c r="A35" s="4"/>
      <x:c r="B35" s="6" t="str">
        <x:v>Operating lease liabilities</x:v>
      </x:c>
      <x:c r="C35" s="192" t="str">
        <x:v>N/D</x:v>
      </x:c>
      <x:c r="D35" s="192" t="str">
        <x:v>N/D</x:v>
      </x:c>
      <x:c r="E35" s="192" t="str">
        <x:v>N/D</x:v>
      </x:c>
      <x:c r="F35" s="98" t="n">
        <x:v>378.708</x:v>
      </x:c>
      <x:c r="G35" s="98" t="n">
        <x:v>466.248</x:v>
      </x:c>
      <x:c r="H35" s="7" t="str">
        <x:v>Reported; excluded from funded debt</x:v>
      </x:c>
      <x:c r="I35" s="6" t="str">
        <x:v>C01</x:v>
      </x:c>
      <x:c r="J35" s="4"/>
    </x:row>
    <x:row r="36" ht="23" customHeight="1">
      <x:c r="A36" s="4"/>
      <x:c r="B36" s="6" t="str">
        <x:v>Diluted weighted-average shares</x:v>
      </x:c>
      <x:c r="C36" s="192" t="str">
        <x:v>N/M</x:v>
      </x:c>
      <x:c r="D36" s="192" t="str">
        <x:v>N/M</x:v>
      </x:c>
      <x:c r="E36" s="98" t="n">
        <x:v>63.448</x:v>
      </x:c>
      <x:c r="F36" s="98" t="n">
        <x:v>118.273</x:v>
      </x:c>
      <x:c r="G36" s="98" t="n">
        <x:v>118.278</x:v>
      </x:c>
      <x:c r="H36" s="6" t="str">
        <x:v>Pre-IPO years not comparable</x:v>
      </x:c>
      <x:c r="I36" s="6" t="str">
        <x:v>C01/C04</x:v>
      </x:c>
      <x:c r="J36" s="4"/>
    </x:row>
    <x:row r="37" ht="28" customHeight="1">
      <x:c r="A37" s="4"/>
      <x:c r="B37" s="6" t="str">
        <x:v>End-of-year CAVA restaurants</x:v>
      </x:c>
      <x:c r="C37" s="98" t="n">
        <x:v>164</x:v>
      </x:c>
      <x:c r="D37" s="98" t="n">
        <x:v>237</x:v>
      </x:c>
      <x:c r="E37" s="98" t="n">
        <x:v>309</x:v>
      </x:c>
      <x:c r="F37" s="98" t="n">
        <x:v>367</x:v>
      </x:c>
      <x:c r="G37" s="98" t="n">
        <x:v>439</x:v>
      </x:c>
      <x:c r="H37" s="7" t="str">
        <x:v>FY2021 derived from FY2022 less 73 openings</x:v>
      </x:c>
      <x:c r="I37" s="6" t="str">
        <x:v>C01/C04</x:v>
      </x:c>
      <x:c r="J37" s="4"/>
    </x:row>
    <x:row r="38" ht="23" customHeight="1">
      <x:c r="A38" s="4"/>
      <x:c r="B38" s="6" t="str">
        <x:v>Net new CAVA openings</x:v>
      </x:c>
      <x:c r="C38" s="192" t="str">
        <x:v>N/D</x:v>
      </x:c>
      <x:c r="D38" s="98" t="n">
        <x:v>73</x:v>
      </x:c>
      <x:c r="E38" s="98" t="n">
        <x:v>72</x:v>
      </x:c>
      <x:c r="F38" s="98" t="n">
        <x:v>58</x:v>
      </x:c>
      <x:c r="G38" s="98" t="n">
        <x:v>72</x:v>
      </x:c>
      <x:c r="H38" s="6" t="str">
        <x:v>Reported</x:v>
      </x:c>
      <x:c r="I38" s="6" t="str">
        <x:v>C01/C04</x:v>
      </x:c>
      <x:c r="J38" s="4"/>
    </x:row>
    <x:row r="39" ht="23" customHeight="1">
      <x:c r="A39" s="4"/>
      <x:c r="B39" s="6" t="str">
        <x:v>CAVA same-restaurant sales</x:v>
      </x:c>
      <x:c r="C39" s="192" t="str">
        <x:v>N/D</x:v>
      </x:c>
      <x:c r="D39" s="98" t="n">
        <x:v>0.142</x:v>
      </x:c>
      <x:c r="E39" s="98" t="n">
        <x:v>0.179</x:v>
      </x:c>
      <x:c r="F39" s="98" t="n">
        <x:v>0.134</x:v>
      </x:c>
      <x:c r="G39" s="98" t="n">
        <x:v>0.04</x:v>
      </x:c>
      <x:c r="H39" s="6" t="str">
        <x:v>Reported</x:v>
      </x:c>
      <x:c r="I39" s="6" t="str">
        <x:v>C01/C04</x:v>
      </x:c>
      <x:c r="J39" s="4"/>
    </x:row>
    <x:row r="40" ht="23" customHeight="1">
      <x:c r="A40" s="4"/>
      <x:c r="B40" s="6" t="str">
        <x:v>Traffic contribution</x:v>
      </x:c>
      <x:c r="C40" s="15" t="str">
        <x:v>N/D</x:v>
      </x:c>
      <x:c r="D40" s="15" t="str">
        <x:v>N/D</x:v>
      </x:c>
      <x:c r="E40" s="102" t="n">
        <x:v>0.104</x:v>
      </x:c>
      <x:c r="F40" s="15" t="str">
        <x:v>N/D</x:v>
      </x:c>
      <x:c r="G40" s="102" t="n">
        <x:v>0.016</x:v>
      </x:c>
      <x:c r="H40" s="6" t="str">
        <x:v>Reported where disclosed</x:v>
      </x:c>
      <x:c r="I40" s="6" t="str">
        <x:v>C01/C04</x:v>
      </x:c>
      <x:c r="J40" s="4"/>
    </x:row>
    <x:row r="41" ht="23" customHeight="1">
      <x:c r="A41" s="4"/>
      <x:c r="B41" s="6" t="str">
        <x:v>Price / mix contribution</x:v>
      </x:c>
      <x:c r="C41" s="15" t="str">
        <x:v>N/D</x:v>
      </x:c>
      <x:c r="D41" s="15" t="str">
        <x:v>N/D</x:v>
      </x:c>
      <x:c r="E41" s="102" t="n">
        <x:v>0.075</x:v>
      </x:c>
      <x:c r="F41" s="15" t="str">
        <x:v>N/D</x:v>
      </x:c>
      <x:c r="G41" s="102" t="n">
        <x:v>0.024</x:v>
      </x:c>
      <x:c r="H41" s="6" t="str">
        <x:v>Reported where disclosed</x:v>
      </x:c>
      <x:c r="I41" s="6" t="str">
        <x:v>C01/C04</x:v>
      </x:c>
      <x:c r="J41" s="4"/>
    </x:row>
    <x:row r="42" ht="23" customHeight="1">
      <x:c r="A42" s="4"/>
      <x:c r="B42" s="6" t="str">
        <x:v>CAVA AUV ($mm)</x:v>
      </x:c>
      <x:c r="C42" s="192" t="str">
        <x:v>N/D</x:v>
      </x:c>
      <x:c r="D42" s="98" t="n">
        <x:v>2.398</x:v>
      </x:c>
      <x:c r="E42" s="98" t="n">
        <x:v>2.639</x:v>
      </x:c>
      <x:c r="F42" s="98" t="n">
        <x:v>2.865</x:v>
      </x:c>
      <x:c r="G42" s="98" t="n">
        <x:v>2.934</x:v>
      </x:c>
      <x:c r="H42" s="6" t="str">
        <x:v>Reported</x:v>
      </x:c>
      <x:c r="I42" s="6" t="str">
        <x:v>C01/C04</x:v>
      </x:c>
      <x:c r="J42" s="4"/>
    </x:row>
    <x:row r="43" ht="23" customHeight="1">
      <x:c r="A43" s="4"/>
      <x:c r="B43" s="6" t="str">
        <x:v>CAVA restaurant-level profit</x:v>
      </x:c>
      <x:c r="C43" s="192" t="str">
        <x:v>N/D</x:v>
      </x:c>
      <x:c r="D43" s="98" t="n">
        <x:v>91.093</x:v>
      </x:c>
      <x:c r="E43" s="98" t="n">
        <x:v>177.488</x:v>
      </x:c>
      <x:c r="F43" s="98" t="n">
        <x:v>238.113</x:v>
      </x:c>
      <x:c r="G43" s="98" t="n">
        <x:v>285.044</x:v>
      </x:c>
      <x:c r="H43" s="6" t="str">
        <x:v>Reported non-GAAP KPI</x:v>
      </x:c>
      <x:c r="I43" s="6" t="str">
        <x:v>C01/C04</x:v>
      </x:c>
      <x:c r="J43" s="4"/>
    </x:row>
    <x:row r="44" ht="23" customHeight="1">
      <x:c r="A44" s="4"/>
      <x:c r="B44" s="6" t="str">
        <x:v>CAVA restaurant-level margin</x:v>
      </x:c>
      <x:c r="C44" s="15" t="str">
        <x:v>N/D</x:v>
      </x:c>
      <x:c r="D44" s="102" t="n">
        <x:v>0.203</x:v>
      </x:c>
      <x:c r="E44" s="102" t="n">
        <x:v>0.248</x:v>
      </x:c>
      <x:c r="F44" s="102" t="n">
        <x:v>0.25</x:v>
      </x:c>
      <x:c r="G44" s="102" t="n">
        <x:v>0.244</x:v>
      </x:c>
      <x:c r="H44" s="6" t="str">
        <x:v>Reported non-GAAP KPI</x:v>
      </x:c>
      <x:c r="I44" s="6" t="str">
        <x:v>C01/C04</x:v>
      </x:c>
      <x:c r="J44" s="4"/>
    </x:row>
    <x:row r="45" ht="23" customHeight="1">
      <x:c r="A45" s="4"/>
      <x:c r="B45" s="6" t="str">
        <x:v>Digital revenue mix</x:v>
      </x:c>
      <x:c r="C45" s="15" t="str">
        <x:v>N/D</x:v>
      </x:c>
      <x:c r="D45" s="102" t="n">
        <x:v>0.345</x:v>
      </x:c>
      <x:c r="E45" s="102" t="n">
        <x:v>0.36</x:v>
      </x:c>
      <x:c r="F45" s="102" t="n">
        <x:v>0.364</x:v>
      </x:c>
      <x:c r="G45" s="102" t="n">
        <x:v>0.379</x:v>
      </x:c>
      <x:c r="H45" s="6" t="str">
        <x:v>Reported</x:v>
      </x:c>
      <x:c r="I45" s="6" t="str">
        <x:v>C01/C04</x:v>
      </x:c>
      <x:c r="J45" s="4"/>
    </x:row>
    <x:row r="46" ht="23" customHeight="1">
      <x:c r="A46" s="4"/>
      <x:c r="B46" s="6" t="str">
        <x:v>Dividends</x:v>
      </x:c>
      <x:c r="C46" s="98" t="n">
        <x:v>0</x:v>
      </x:c>
      <x:c r="D46" s="98" t="n">
        <x:v>0</x:v>
      </x:c>
      <x:c r="E46" s="98" t="n">
        <x:v>0</x:v>
      </x:c>
      <x:c r="F46" s="98" t="n">
        <x:v>0</x:v>
      </x:c>
      <x:c r="G46" s="98" t="n">
        <x:v>0</x:v>
      </x:c>
      <x:c r="H46" s="6" t="str">
        <x:v>None declared</x:v>
      </x:c>
      <x:c r="I46" s="6" t="str">
        <x:v>C01/C04</x:v>
      </x:c>
      <x:c r="J46" s="4"/>
    </x:row>
    <x:row r="47" ht="28" customHeight="1">
      <x:c r="A47" s="4"/>
      <x:c r="B47" s="6" t="str">
        <x:v>Open-market share repurchases</x:v>
      </x:c>
      <x:c r="C47" s="98" t="n">
        <x:v>0</x:v>
      </x:c>
      <x:c r="D47" s="98" t="n">
        <x:v>0</x:v>
      </x:c>
      <x:c r="E47" s="98" t="n">
        <x:v>0</x:v>
      </x:c>
      <x:c r="F47" s="98" t="n">
        <x:v>0</x:v>
      </x:c>
      <x:c r="G47" s="98" t="n">
        <x:v>0</x:v>
      </x:c>
      <x:c r="H47" s="7" t="str">
        <x:v>No open-market program disclosed; award withholding excluded</x:v>
      </x:c>
      <x:c r="I47" s="6" t="str">
        <x:v>C01/C04</x:v>
      </x:c>
      <x:c r="J47" s="4"/>
    </x:row>
    <x:row r="48" ht="28" customHeight="1">
      <x:c r="A48" s="4"/>
      <x:c r="B48" s="6" t="str">
        <x:v>Material business acquisitions</x:v>
      </x:c>
      <x:c r="C48" s="98" t="n">
        <x:v>0</x:v>
      </x:c>
      <x:c r="D48" s="98" t="n">
        <x:v>0</x:v>
      </x:c>
      <x:c r="E48" s="98" t="n">
        <x:v>0</x:v>
      </x:c>
      <x:c r="F48" s="98" t="n">
        <x:v>0</x:v>
      </x:c>
      <x:c r="G48" s="98" t="n">
        <x:v>0</x:v>
      </x:c>
      <x:c r="H48" s="7" t="str">
        <x:v>No material business acquisition in reviewed cash flows</x:v>
      </x:c>
      <x:c r="I48" s="6" t="str">
        <x:v>C01/C04</x:v>
      </x:c>
      <x:c r="J48" s="4"/>
    </x:row>
    <x:row r="49" ht="28" customHeight="1">
      <x:c r="A49" s="4"/>
      <x:c r="B49" s="7" t="str">
        <x:v>CAVA restaurant revenue used in FY2025 restaurant-level margin</x:v>
      </x:c>
      <x:c r="C49" s="6" t="str">
        <x:v>N/D</x:v>
      </x:c>
      <x:c r="D49" s="6" t="str">
        <x:v>N/D</x:v>
      </x:c>
      <x:c r="E49" s="6" t="str">
        <x:v>N/D</x:v>
      </x:c>
      <x:c r="F49" s="6" t="str">
        <x:v>N/D</x:v>
      </x:c>
      <x:c r="G49" s="93" t="n">
        <x:v>1169.286</x:v>
      </x:c>
      <x:c r="H49" s="6" t="str">
        <x:v>Reported denominator</x:v>
      </x:c>
      <x:c r="I49" s="6" t="str">
        <x:v>C01</x:v>
      </x:c>
      <x:c r="J49" s="4"/>
    </x:row>
    <x:row r="50" ht="23" customHeight="1">
      <x:c r="A50" s="4"/>
      <x:c r="B50" s="4"/>
      <x:c r="C50" s="4"/>
      <x:c r="D50" s="4"/>
      <x:c r="E50" s="4"/>
      <x:c r="F50" s="4"/>
      <x:c r="G50" s="4"/>
      <x:c r="H50" s="4"/>
      <x:c r="I50" s="4"/>
      <x:c r="J50" s="4"/>
    </x:row>
    <x:row r="51" ht="23" customHeight="1">
      <x:c r="A51" s="4"/>
      <x:c r="B51" s="4"/>
      <x:c r="C51" s="4"/>
      <x:c r="D51" s="4"/>
      <x:c r="E51" s="4"/>
      <x:c r="F51" s="4"/>
      <x:c r="G51" s="4"/>
      <x:c r="H51" s="4"/>
      <x:c r="I51" s="4"/>
      <x:c r="J51" s="4"/>
    </x:row>
    <x:row r="52" ht="23" customHeight="1">
      <x:c r="A52" s="4"/>
      <x:c r="B52" s="4"/>
      <x:c r="C52" s="4"/>
      <x:c r="D52" s="4"/>
      <x:c r="E52" s="4"/>
      <x:c r="F52" s="4"/>
      <x:c r="G52" s="4"/>
      <x:c r="H52" s="4"/>
      <x:c r="I52" s="4"/>
      <x:c r="J52" s="4"/>
    </x:row>
  </x:sheetData>
  <x:pageMargins left="0.7" right="0.7" top="0.75" bottom="0.75" header="0.3" footer="0.3"/>
</x:worksheet>
</file>

<file path=xl/worksheets/sheet11.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1" ht="31" customHeight="1">
      <x:c r="A1" s="6"/>
      <x:c r="B1" s="22" t="str">
        <x:v>CAVA, Historical KPI Analysis</x:v>
      </x:c>
      <x:c r="C1" s="22"/>
      <x:c r="D1" s="22"/>
      <x:c r="E1" s="22"/>
      <x:c r="F1" s="22"/>
      <x:c r="G1" s="22"/>
      <x:c r="H1" s="22"/>
      <x:c r="I1" s="22"/>
    </x:row>
    <x:row r="2" ht="34" customHeight="1">
      <x:c r="A2" s="7"/>
      <x:c r="B2" s="26" t="str">
        <x:v>Growth, margins, capital spending, cash flow and restaurant sales and costs</x:v>
      </x:c>
      <x:c r="C2" s="26"/>
      <x:c r="D2" s="26"/>
      <x:c r="E2" s="26"/>
      <x:c r="F2" s="26"/>
      <x:c r="G2" s="26"/>
      <x:c r="H2" s="26"/>
      <x:c r="I2" s="26"/>
    </x:row>
    <x:row r="3" ht="23" customHeight="1">
      <x:c r="A3" s="4"/>
      <x:c r="B3" s="4"/>
      <x:c r="C3" s="4"/>
      <x:c r="D3" s="4"/>
      <x:c r="E3" s="4"/>
      <x:c r="F3" s="4"/>
      <x:c r="G3" s="4"/>
      <x:c r="H3" s="4"/>
      <x:c r="I3" s="4"/>
    </x:row>
    <x:row r="4" ht="23" customHeight="1">
      <x:c r="A4" s="4"/>
      <x:c r="B4" s="6" t="str">
        <x:v>Trend Table</x:v>
      </x:c>
      <x:c r="C4" s="4"/>
      <x:c r="D4" s="4"/>
      <x:c r="E4" s="4"/>
      <x:c r="F4" s="4"/>
      <x:c r="G4" s="4"/>
      <x:c r="H4" s="4"/>
      <x:c r="I4" s="6" t="str">
        <x:v>Interpretation</x:v>
      </x:c>
    </x:row>
    <x:row r="5" ht="34" customHeight="1">
      <x:c r="A5" s="4"/>
      <x:c r="B5" s="40" t="str">
        <x:v>Metric</x:v>
      </x:c>
      <x:c r="C5" s="40" t="str">
        <x:v>FY2021A</x:v>
      </x:c>
      <x:c r="D5" s="40" t="str">
        <x:v>FY2022A</x:v>
      </x:c>
      <x:c r="E5" s="40" t="str">
        <x:v>FY2023A</x:v>
      </x:c>
      <x:c r="F5" s="40" t="str">
        <x:v>FY2024A</x:v>
      </x:c>
      <x:c r="G5" s="40" t="str">
        <x:v>FY2025A</x:v>
      </x:c>
      <x:c r="H5" s="42"/>
      <x:c r="I5" s="40" t="str">
        <x:v>CAVA grew from 237 restaurants in FY2022 to 439 in FY2025. Average annual sales per restaurant rose from $2.398m to $2.934m. Restaurant margins stayed in the mid-20s. Corporate costs, depreciation, opening costs and construction spending use much of that profit. FY2025 free cash flow was positive but small relative to the market value. FY2024's tax benefit makes net income less useful for comparing years.</x:v>
      </x:c>
    </x:row>
    <x:row r="6" ht="23" customHeight="1">
      <x:c r="A6" s="4"/>
      <x:c r="B6" s="6" t="str">
        <x:v>Revenue growth</x:v>
      </x:c>
      <x:c r="C6" s="15" t="str">
        <x:v>N/M</x:v>
      </x:c>
      <x:c r="D6" s="128" t="n">
        <x:f>'Historical'!D6/'Historical'!C6-1</x:f>
        <x:v>0.1280755571197747</x:v>
      </x:c>
      <x:c r="E6" s="128" t="n">
        <x:f>'Historical'!E6/'Historical'!D6-1</x:f>
        <x:v>0.2917487267757335</x:v>
      </x:c>
      <x:c r="F6" s="128" t="n">
        <x:f>'Historical'!F6/'Historical'!E6-1</x:f>
        <x:v>0.3225099492246466</x:v>
      </x:c>
      <x:c r="G6" s="128" t="n">
        <x:f>'Historical'!G6/'Historical'!F6-1</x:f>
        <x:v>0.22408227345693166</x:v>
      </x:c>
      <x:c r="H6" s="4"/>
      <x:c r="I6" s="4"/>
    </x:row>
    <x:row r="7" ht="23" customHeight="1">
      <x:c r="A7" s="4"/>
      <x:c r="B7" s="6" t="str">
        <x:v>Restaurant-count growth</x:v>
      </x:c>
      <x:c r="C7" s="15" t="str">
        <x:v>N/D</x:v>
      </x:c>
      <x:c r="D7" s="128" t="n">
        <x:f>IFERROR('Historical'!D37/'Historical'!C37-1,"N/D")</x:f>
        <x:v>0.44512195121951215</x:v>
      </x:c>
      <x:c r="E7" s="128" t="n">
        <x:f>IFERROR('Historical'!E37/'Historical'!D37-1,"N/D")</x:f>
        <x:v>0.30379746835443044</x:v>
      </x:c>
      <x:c r="F7" s="128" t="n">
        <x:f>IFERROR('Historical'!F37/'Historical'!E37-1,"N/D")</x:f>
        <x:v>0.18770226537216828</x:v>
      </x:c>
      <x:c r="G7" s="128" t="n">
        <x:f>IFERROR('Historical'!G37/'Historical'!F37-1,"N/D")</x:f>
        <x:v>0.19618528610354224</x:v>
      </x:c>
      <x:c r="H7" s="4"/>
      <x:c r="I7" s="4"/>
    </x:row>
    <x:row r="8" ht="23" customHeight="1">
      <x:c r="A8" s="4"/>
      <x:c r="B8" s="6" t="str">
        <x:v>Same-restaurant sales</x:v>
      </x:c>
      <x:c r="C8" s="128" t="str">
        <x:f>'Historical'!C39</x:f>
        <x:v>N/D</x:v>
      </x:c>
      <x:c r="D8" s="128" t="n">
        <x:f>'Historical'!D39</x:f>
        <x:v>0.142</x:v>
      </x:c>
      <x:c r="E8" s="128" t="n">
        <x:f>'Historical'!E39</x:f>
        <x:v>0.179</x:v>
      </x:c>
      <x:c r="F8" s="128" t="n">
        <x:f>'Historical'!F39</x:f>
        <x:v>0.134</x:v>
      </x:c>
      <x:c r="G8" s="128" t="n">
        <x:f>'Historical'!G39</x:f>
        <x:v>0.04</x:v>
      </x:c>
      <x:c r="H8" s="4"/>
      <x:c r="I8" s="4"/>
    </x:row>
    <x:row r="9" ht="23" customHeight="1">
      <x:c r="A9" s="4"/>
      <x:c r="B9" s="6" t="str">
        <x:v>AUV growth</x:v>
      </x:c>
      <x:c r="C9" s="15" t="str">
        <x:v>N/D</x:v>
      </x:c>
      <x:c r="D9" s="128" t="str">
        <x:f>IFERROR('Historical'!D42/'Historical'!C42-1,"N/D")</x:f>
        <x:v>N/D</x:v>
      </x:c>
      <x:c r="E9" s="128" t="n">
        <x:f>IFERROR('Historical'!E42/'Historical'!D42-1,"N/D")</x:f>
        <x:v>0.10050041701417833</x:v>
      </x:c>
      <x:c r="F9" s="128" t="n">
        <x:f>IFERROR('Historical'!F42/'Historical'!E42-1,"N/D")</x:f>
        <x:v>0.08563849943160307</x:v>
      </x:c>
      <x:c r="G9" s="128" t="n">
        <x:f>IFERROR('Historical'!G42/'Historical'!F42-1,"N/D")</x:f>
        <x:v>0.02408376963350789</x:v>
      </x:c>
      <x:c r="H9" s="4"/>
      <x:c r="I9" s="4"/>
    </x:row>
    <x:row r="10" ht="28" customHeight="1">
      <x:c r="A10" s="4"/>
      <x:c r="B10" s="7" t="str">
        <x:v>Revenue growth less restaurant-count growth</x:v>
      </x:c>
      <x:c r="C10" s="15" t="str">
        <x:v>N/D</x:v>
      </x:c>
      <x:c r="D10" s="139" t="n">
        <x:f>IFERROR(D6-D7,"N/D")</x:f>
        <x:v>-0.31704639409973745</x:v>
      </x:c>
      <x:c r="E10" s="139" t="n">
        <x:f>IFERROR(E6-E7,"N/D")</x:f>
        <x:v>-0.012048741578696953</x:v>
      </x:c>
      <x:c r="F10" s="139" t="n">
        <x:f>IFERROR(F6-F7,"N/D")</x:f>
        <x:v>0.13480768385247832</x:v>
      </x:c>
      <x:c r="G10" s="139" t="n">
        <x:f>IFERROR(G6-G7,"N/D")</x:f>
        <x:v>0.027896987353389413</x:v>
      </x:c>
      <x:c r="H10" s="4"/>
      <x:c r="I10" s="4"/>
    </x:row>
    <x:row r="11" ht="28" customHeight="1">
      <x:c r="A11" s="4"/>
      <x:c r="B11" s="7" t="str">
        <x:v>Estimated restaurant gross margin</x:v>
      </x:c>
      <x:c r="C11" s="128" t="n">
        <x:f>'Historical'!C13</x:f>
        <x:v>0.1642823433425587</x:v>
      </x:c>
      <x:c r="D11" s="128" t="n">
        <x:f>'Historical'!D13</x:f>
        <x:v>0.17369384828378415</x:v>
      </x:c>
      <x:c r="E11" s="128" t="n">
        <x:f>'Historical'!E13</x:f>
        <x:v>0.24749005077535335</x:v>
      </x:c>
      <x:c r="F11" s="128" t="n">
        <x:f>'Historical'!F13</x:f>
        <x:v>0.25090976255378933</x:v>
      </x:c>
      <x:c r="G11" s="128" t="n">
        <x:f>'Historical'!G13</x:f>
        <x:v>0.24622858712311302</x:v>
      </x:c>
      <x:c r="H11" s="4"/>
      <x:c r="I11" s="4"/>
    </x:row>
    <x:row r="12" ht="23" customHeight="1">
      <x:c r="A12" s="4"/>
      <x:c r="B12" s="6" t="str">
        <x:v>Restaurant-level margin</x:v>
      </x:c>
      <x:c r="C12" s="128" t="str">
        <x:f>'Historical'!C44</x:f>
        <x:v>N/D</x:v>
      </x:c>
      <x:c r="D12" s="128" t="n">
        <x:f>'Historical'!D44</x:f>
        <x:v>0.203</x:v>
      </x:c>
      <x:c r="E12" s="128" t="n">
        <x:f>'Historical'!E44</x:f>
        <x:v>0.248</x:v>
      </x:c>
      <x:c r="F12" s="128" t="n">
        <x:f>'Historical'!F44</x:f>
        <x:v>0.25</x:v>
      </x:c>
      <x:c r="G12" s="128" t="n">
        <x:f>'Historical'!G44</x:f>
        <x:v>0.244</x:v>
      </x:c>
      <x:c r="H12" s="4"/>
      <x:c r="I12" s="4"/>
    </x:row>
    <x:row r="13" ht="23" customHeight="1">
      <x:c r="A13" s="4"/>
      <x:c r="B13" s="6" t="str">
        <x:v>Operating margin</x:v>
      </x:c>
      <x:c r="C13" s="128" t="n">
        <x:f>'Historical'!C20</x:f>
        <x:v>-0.10548880961141596</x:v>
      </x:c>
      <x:c r="D13" s="128" t="n">
        <x:f>'Historical'!D20</x:f>
        <x:v>-0.10594573130846505</x:v>
      </x:c>
      <x:c r="E13" s="128" t="n">
        <x:f>'Historical'!E20</x:f>
        <x:v>0.00648414985590778</x:v>
      </x:c>
      <x:c r="F13" s="128" t="n">
        <x:f>'Historical'!F20</x:f>
        <x:v>0.044741536121231114</x:v>
      </x:c>
      <x:c r="G13" s="128" t="n">
        <x:f>'Historical'!G20</x:f>
        <x:v>0.04686503953668163</x:v>
      </x:c>
      <x:c r="H13" s="4"/>
      <x:c r="I13" s="4"/>
    </x:row>
    <x:row r="14" ht="23" customHeight="1">
      <x:c r="A14" s="4"/>
      <x:c r="B14" s="6" t="str">
        <x:v>G&amp;A / revenue</x:v>
      </x:c>
      <x:c r="C14" s="128" t="n">
        <x:f>'Historical'!C14/'Historical'!C6</x:f>
        <x:v>0.12956534259066696</x:v>
      </x:c>
      <x:c r="D14" s="128" t="n">
        <x:f>'Historical'!D14/'Historical'!D6</x:f>
        <x:v>0.12415288263646501</x:v>
      </x:c>
      <x:c r="E14" s="128" t="n">
        <x:f>'Historical'!E14/'Historical'!E6</x:f>
        <x:v>0.13927679429120352</x:v>
      </x:c>
      <x:c r="F14" s="128" t="n">
        <x:f>'Historical'!F14/'Historical'!F6</x:f>
        <x:v>0.12503722581307922</x:v>
      </x:c>
      <x:c r="G14" s="128" t="n">
        <x:f>'Historical'!G14/'Historical'!G6</x:f>
        <x:v>0.11652640073783721</x:v>
      </x:c>
      <x:c r="H14" s="4"/>
      <x:c r="I14" s="4"/>
    </x:row>
    <x:row r="15" ht="23" customHeight="1">
      <x:c r="A15" s="4"/>
      <x:c r="B15" s="6" t="str">
        <x:v>Pre-opening / revenue</x:v>
      </x:c>
      <x:c r="C15" s="128" t="n">
        <x:f>'Historical'!C17/'Historical'!C6</x:f>
        <x:v>0.016385640467772643</x:v>
      </x:c>
      <x:c r="D15" s="128" t="n">
        <x:f>'Historical'!D17/'Historical'!D6</x:f>
        <x:v>0.03423568431483428</x:v>
      </x:c>
      <x:c r="E15" s="128" t="n">
        <x:f>'Historical'!E17/'Historical'!E6</x:f>
        <x:v>0.021569919033895976</x:v>
      </x:c>
      <x:c r="F15" s="128" t="n">
        <x:f>'Historical'!F17/'Historical'!F6</x:f>
        <x:v>0.012656257620266615</x:v>
      </x:c>
      <x:c r="G15" s="128" t="n">
        <x:f>'Historical'!G17/'Historical'!G6</x:f>
        <x:v>0.016219872777333208</x:v>
      </x:c>
      <x:c r="H15" s="4"/>
      <x:c r="I15" s="6" t="str">
        <x:v>What to Check</x:v>
      </x:c>
    </x:row>
    <x:row r="16" ht="80" customHeight="1">
      <x:c r="A16" s="4"/>
      <x:c r="B16" s="6" t="str">
        <x:v>Capex / revenue</x:v>
      </x:c>
      <x:c r="C16" s="128" t="n">
        <x:f>'Historical'!C23/'Historical'!C6</x:f>
        <x:v>0.11260178534291061</x:v>
      </x:c>
      <x:c r="D16" s="128" t="n">
        <x:f>'Historical'!D23/'Historical'!D6</x:f>
        <x:v>0.1846436656095611</x:v>
      </x:c>
      <x:c r="E16" s="128" t="n">
        <x:f>'Historical'!E23/'Historical'!E6</x:f>
        <x:v>0.19048442431727736</x:v>
      </x:c>
      <x:c r="F16" s="128" t="n">
        <x:f>'Historical'!F23/'Historical'!F6</x:f>
        <x:v>0.11220249182069766</x:v>
      </x:c>
      <x:c r="G16" s="128" t="n">
        <x:f>'Historical'!G23/'Historical'!G6</x:f>
        <x:v>0.13452898452440695</x:v>
      </x:c>
      <x:c r="H16" s="4"/>
      <x:c r="I16" s="7" t="str">
        <x:v>Check whether new restaurants sustain annual sales above $3m, traffic keeps growing and restaurant margins stay near 24%. Watch whether corporate costs grow more slowly than revenue, and whether spending per opening falls without choosing weaker locations.</x:v>
      </x:c>
    </x:row>
    <x:row r="17" ht="23" customHeight="1">
      <x:c r="A17" s="4"/>
      <x:c r="B17" s="6" t="str">
        <x:v>FCF margin</x:v>
      </x:c>
      <x:c r="C17" s="128" t="n">
        <x:f>'Historical'!C24/'Historical'!C6</x:f>
        <x:v>-0.10581676238621637</x:v>
      </x:c>
      <x:c r="D17" s="128" t="n">
        <x:f>'Historical'!D24/'Historical'!D6</x:f>
        <x:v>-0.1739402501954375</x:v>
      </x:c>
      <x:c r="E17" s="128" t="n">
        <x:f>'Historical'!E24/'Historical'!E6</x:f>
        <x:v>-0.05723205708796488</x:v>
      </x:c>
      <x:c r="F17" s="128" t="n">
        <x:f>'Historical'!F24/'Historical'!F6</x:f>
        <x:v>0.054887710345299885</x:v>
      </x:c>
      <x:c r="G17" s="128" t="n">
        <x:f>'Historical'!G24/'Historical'!G6</x:f>
        <x:v>0.02215969971110417</x:v>
      </x:c>
      <x:c r="H17" s="4"/>
      <x:c r="I17" s="4"/>
    </x:row>
    <x:row r="18" ht="23" customHeight="1">
      <x:c r="A18" s="4"/>
      <x:c r="B18" s="6" t="str">
        <x:v>FCF conversion / net income</x:v>
      </x:c>
      <x:c r="C18" s="128" t="str">
        <x:f>IF('Historical'!C21&gt;0,'Historical'!C24/'Historical'!C21,"N/M")</x:f>
        <x:v>N/M</x:v>
      </x:c>
      <x:c r="D18" s="128" t="str">
        <x:f>IF('Historical'!D21&gt;0,'Historical'!D24/'Historical'!D21,"N/M")</x:f>
        <x:v>N/M</x:v>
      </x:c>
      <x:c r="E18" s="128" t="n">
        <x:f>IF('Historical'!E21&gt;0,'Historical'!E24/'Historical'!E21,"N/M")</x:f>
        <x:v>-3.140436746987953</x:v>
      </x:c>
      <x:c r="F18" s="128" t="n">
        <x:f>IF('Historical'!F21&gt;0,'Historical'!F24/'Historical'!F21,"N/M")</x:f>
        <x:v>0.4058963006161802</x:v>
      </x:c>
      <x:c r="G18" s="128" t="n">
        <x:f>IF('Historical'!G21&gt;0,'Historical'!G24/'Historical'!G21,"N/M")</x:f>
        <x:v>0.41009993254161226</x:v>
      </x:c>
      <x:c r="H18" s="4"/>
      <x:c r="I18" s="4"/>
    </x:row>
    <x:row r="19" ht="23" customHeight="1">
      <x:c r="A19" s="4"/>
      <x:c r="B19" s="6" t="str">
        <x:v>Traffic contribution</x:v>
      </x:c>
      <x:c r="C19" s="128" t="str">
        <x:f>'Historical'!C40</x:f>
        <x:v>N/D</x:v>
      </x:c>
      <x:c r="D19" s="128" t="str">
        <x:f>'Historical'!D40</x:f>
        <x:v>N/D</x:v>
      </x:c>
      <x:c r="E19" s="128" t="n">
        <x:f>'Historical'!E40</x:f>
        <x:v>0.104</x:v>
      </x:c>
      <x:c r="F19" s="128" t="str">
        <x:f>'Historical'!F40</x:f>
        <x:v>N/D</x:v>
      </x:c>
      <x:c r="G19" s="128" t="n">
        <x:f>'Historical'!G40</x:f>
        <x:v>0.016</x:v>
      </x:c>
      <x:c r="H19" s="4"/>
      <x:c r="I19" s="4"/>
    </x:row>
    <x:row r="20" ht="23" customHeight="1">
      <x:c r="A20" s="4"/>
      <x:c r="B20" s="6" t="str">
        <x:v>Digital revenue mix</x:v>
      </x:c>
      <x:c r="C20" s="128" t="str">
        <x:f>'Historical'!C45</x:f>
        <x:v>N/D</x:v>
      </x:c>
      <x:c r="D20" s="128" t="n">
        <x:f>'Historical'!D45</x:f>
        <x:v>0.345</x:v>
      </x:c>
      <x:c r="E20" s="128" t="n">
        <x:f>'Historical'!E45</x:f>
        <x:v>0.36</x:v>
      </x:c>
      <x:c r="F20" s="128" t="n">
        <x:f>'Historical'!F45</x:f>
        <x:v>0.364</x:v>
      </x:c>
      <x:c r="G20" s="128" t="n">
        <x:f>'Historical'!G45</x:f>
        <x:v>0.379</x:v>
      </x:c>
      <x:c r="H20" s="4"/>
      <x:c r="I20" s="4"/>
    </x:row>
    <x:row r="21" ht="23" customHeight="1">
      <x:c r="A21" s="4"/>
      <x:c r="B21" s="4"/>
      <x:c r="C21" s="4"/>
      <x:c r="D21" s="4"/>
      <x:c r="E21" s="4"/>
      <x:c r="F21" s="4"/>
      <x:c r="G21" s="4"/>
      <x:c r="H21" s="4"/>
      <x:c r="I21" s="4"/>
    </x:row>
    <x:row r="22" ht="23" customHeight="1">
      <x:c r="A22" s="4"/>
      <x:c r="B22" s="4"/>
      <x:c r="C22" s="4"/>
      <x:c r="D22" s="4"/>
      <x:c r="E22" s="4"/>
      <x:c r="F22" s="4"/>
      <x:c r="G22" s="4"/>
      <x:c r="H22" s="4"/>
      <x:c r="I22" s="4"/>
    </x:row>
    <x:row r="23" ht="23" customHeight="1">
      <x:c r="A23" s="4"/>
      <x:c r="B23" s="4"/>
      <x:c r="C23" s="4"/>
      <x:c r="D23" s="4"/>
      <x:c r="E23" s="4"/>
      <x:c r="F23" s="4"/>
      <x:c r="G23" s="4"/>
      <x:c r="H23" s="4"/>
      <x:c r="I23" s="4"/>
    </x:row>
    <x:row r="24" ht="23" customHeight="1">
      <x:c r="A24" s="4"/>
      <x:c r="B24" s="4"/>
      <x:c r="C24" s="4"/>
      <x:c r="D24" s="4"/>
      <x:c r="E24" s="4"/>
      <x:c r="F24" s="4"/>
      <x:c r="G24" s="4"/>
      <x:c r="H24" s="4"/>
      <x:c r="I24" s="4"/>
    </x:row>
    <x:row r="25" ht="23" customHeight="1">
      <x:c r="A25" s="4"/>
      <x:c r="B25" s="4"/>
      <x:c r="C25" s="4"/>
      <x:c r="D25" s="4"/>
      <x:c r="E25" s="4"/>
      <x:c r="F25" s="4"/>
      <x:c r="G25" s="4"/>
      <x:c r="H25" s="4"/>
      <x:c r="I25" s="4"/>
    </x:row>
    <x:row r="26" ht="23" customHeight="1">
      <x:c r="A26" s="4"/>
      <x:c r="B26" s="4"/>
      <x:c r="C26" s="4"/>
      <x:c r="D26" s="4"/>
      <x:c r="E26" s="4"/>
      <x:c r="F26" s="4"/>
      <x:c r="G26" s="4"/>
      <x:c r="H26" s="4"/>
      <x:c r="I26" s="4"/>
    </x:row>
    <x:row r="27" ht="23" customHeight="1">
      <x:c r="A27" s="4"/>
      <x:c r="B27" s="4"/>
      <x:c r="C27" s="4"/>
      <x:c r="D27" s="4"/>
      <x:c r="E27" s="4"/>
      <x:c r="F27" s="4"/>
      <x:c r="G27" s="4"/>
      <x:c r="H27" s="4"/>
      <x:c r="I27" s="4"/>
    </x:row>
    <x:row r="28" ht="23" customHeight="1">
      <x:c r="A28" s="4"/>
      <x:c r="B28" s="4"/>
      <x:c r="C28" s="4"/>
      <x:c r="D28" s="4"/>
      <x:c r="E28" s="4"/>
      <x:c r="F28" s="4"/>
      <x:c r="G28" s="4"/>
      <x:c r="H28" s="4"/>
      <x:c r="I28" s="4"/>
    </x:row>
    <x:row r="29" ht="23" customHeight="1">
      <x:c r="A29" s="4"/>
      <x:c r="B29" s="4"/>
      <x:c r="C29" s="4"/>
      <x:c r="D29" s="4"/>
      <x:c r="E29" s="4"/>
      <x:c r="F29" s="4"/>
      <x:c r="G29" s="4"/>
      <x:c r="H29" s="4"/>
      <x:c r="I29" s="4"/>
    </x:row>
    <x:row r="30" ht="23" customHeight="1">
      <x:c r="A30" s="4"/>
      <x:c r="B30" s="4"/>
      <x:c r="C30" s="4"/>
      <x:c r="D30" s="4"/>
      <x:c r="E30" s="4"/>
      <x:c r="F30" s="4"/>
      <x:c r="G30" s="4"/>
      <x:c r="H30" s="4"/>
      <x:c r="I30" s="4"/>
    </x:row>
  </x:sheetData>
  <x:pageMargins left="0.7" right="0.7" top="0.75" bottom="0.75" header="0.3" footer="0.3"/>
</x:worksheet>
</file>

<file path=xl/worksheets/sheet12.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31" customHeight="1">
      <x:c r="A1" s="6"/>
      <x:c r="B1" s="22" t="str">
        <x:v>CAVA, Comparable Companies</x:v>
      </x:c>
      <x:c r="C1" s="22"/>
      <x:c r="D1" s="22"/>
      <x:c r="E1" s="22"/>
      <x:c r="F1" s="22"/>
      <x:c r="G1" s="22"/>
      <x:c r="H1" s="22"/>
      <x:c r="I1" s="22"/>
      <x:c r="J1" s="22"/>
      <x:c r="K1" s="22"/>
      <x:c r="L1" s="22"/>
      <x:c r="M1" s="22"/>
      <x:c r="N1" s="22"/>
      <x:c r="O1" s="22"/>
      <x:c r="P1" s="22"/>
    </x:row>
    <x:row r="2" ht="34" customHeight="1">
      <x:c r="A2" s="7"/>
      <x:c r="B2" s="26" t="str">
        <x:v>Operating peer context. N/V marks trading inputs not verified at the 5 August 2026 cutoff.</x:v>
      </x:c>
      <x:c r="C2" s="26"/>
      <x:c r="D2" s="26"/>
      <x:c r="E2" s="26"/>
      <x:c r="F2" s="26"/>
      <x:c r="G2" s="26"/>
      <x:c r="H2" s="26"/>
      <x:c r="I2" s="26"/>
      <x:c r="J2" s="26"/>
      <x:c r="K2" s="26"/>
      <x:c r="L2" s="26"/>
      <x:c r="M2" s="26"/>
      <x:c r="N2" s="26"/>
      <x:c r="O2" s="26"/>
      <x:c r="P2" s="26"/>
    </x:row>
    <x:row r="3" ht="23" customHeight="1">
      <x:c r="A3" s="4"/>
      <x:c r="B3" s="4"/>
      <x:c r="C3" s="4"/>
      <x:c r="D3" s="4"/>
      <x:c r="E3" s="4"/>
      <x:c r="F3" s="4"/>
      <x:c r="G3" s="4"/>
      <x:c r="H3" s="4"/>
      <x:c r="I3" s="4"/>
      <x:c r="J3" s="4"/>
      <x:c r="K3" s="4"/>
      <x:c r="L3" s="4"/>
      <x:c r="M3" s="4"/>
      <x:c r="N3" s="4"/>
      <x:c r="O3" s="4"/>
      <x:c r="P3" s="4"/>
    </x:row>
    <x:row r="4" ht="28" customHeight="1">
      <x:c r="A4" s="4"/>
      <x:c r="B4" s="7" t="str">
        <x:v>Fast-Casual and Growth Restaurant Peers</x:v>
      </x:c>
      <x:c r="C4" s="4"/>
      <x:c r="D4" s="4"/>
      <x:c r="E4" s="4"/>
      <x:c r="F4" s="4"/>
      <x:c r="G4" s="4"/>
      <x:c r="H4" s="4"/>
      <x:c r="I4" s="4"/>
      <x:c r="J4" s="4"/>
      <x:c r="K4" s="4"/>
      <x:c r="L4" s="4"/>
      <x:c r="M4" s="4"/>
      <x:c r="N4" s="4"/>
      <x:c r="O4" s="4"/>
      <x:c r="P4" s="4"/>
    </x:row>
    <x:row r="5" ht="34" customHeight="1">
      <x:c r="A5" s="4"/>
      <x:c r="B5" s="40" t="str">
        <x:v>Company</x:v>
      </x:c>
      <x:c r="C5" s="40" t="str">
        <x:v>Ticker</x:v>
      </x:c>
      <x:c r="D5" s="40" t="str">
        <x:v>Price</x:v>
      </x:c>
      <x:c r="E5" s="40" t="str">
        <x:v>Market cap</x:v>
      </x:c>
      <x:c r="F5" s="40" t="str">
        <x:v>Enterprise value</x:v>
      </x:c>
      <x:c r="G5" s="40" t="str">
        <x:v>Revenue</x:v>
      </x:c>
      <x:c r="H5" s="40" t="str">
        <x:v>Revenue growth</x:v>
      </x:c>
      <x:c r="I5" s="40" t="str">
        <x:v>Op. margin</x:v>
      </x:c>
      <x:c r="J5" s="40" t="str">
        <x:v>EBITDA margin</x:v>
      </x:c>
      <x:c r="K5" s="40" t="str">
        <x:v>FCF margin</x:v>
      </x:c>
      <x:c r="L5" s="40" t="str">
        <x:v>EV / Revenue</x:v>
      </x:c>
      <x:c r="M5" s="40" t="str">
        <x:v>EV / EBITDA</x:v>
      </x:c>
      <x:c r="N5" s="40" t="str">
        <x:v>P / E</x:v>
      </x:c>
      <x:c r="O5" s="40" t="str">
        <x:v>Net debt / EBITDA</x:v>
      </x:c>
      <x:c r="P5" s="40" t="str">
        <x:v>Fit and limitation</x:v>
      </x:c>
    </x:row>
    <x:row r="6" ht="60" customHeight="1">
      <x:c r="A6" s="4"/>
      <x:c r="B6" s="6" t="str">
        <x:v>CAVA Group</x:v>
      </x:c>
      <x:c r="C6" s="6" t="str">
        <x:v>CAVA</x:v>
      </x:c>
      <x:c r="D6" s="143" t="n">
        <x:f>'Assumptions'!C6</x:f>
        <x:v>66.17</x:v>
      </x:c>
      <x:c r="E6" s="105" t="n">
        <x:f>'WACC'!C13</x:f>
        <x:v>7707.07505152</x:v>
      </x:c>
      <x:c r="F6" s="105" t="n">
        <x:f>E6+'Assumptions'!C12-'Assumptions'!C8-'Assumptions'!C9-'Assumptions'!G8</x:f>
        <x:v>7293.40005152</x:v>
      </x:c>
      <x:c r="G6" s="105" t="n">
        <x:f>'Historical'!G6</x:f>
        <x:v>1179.664</x:v>
      </x:c>
      <x:c r="H6" s="128" t="n">
        <x:f>'Historical'!G6/'Historical'!F6-1</x:f>
        <x:v>0.22408227345693166</x:v>
      </x:c>
      <x:c r="I6" s="128" t="n">
        <x:f>'Historical'!G20</x:f>
        <x:v>0.04686503953668163</x:v>
      </x:c>
      <x:c r="J6" s="128" t="n">
        <x:f>('Historical'!G19+'Historical'!G15)/G6</x:f>
        <x:v>0.10930739600428596</x:v>
      </x:c>
      <x:c r="K6" s="128" t="n">
        <x:f>'Historical'!G24/G6</x:f>
        <x:v>0.02215969971110417</x:v>
      </x:c>
      <x:c r="L6" s="194" t="n">
        <x:f>F6/G6</x:f>
        <x:v>6.182607972710874</x:v>
      </x:c>
      <x:c r="M6" s="194" t="n">
        <x:f>F6/(G6*J6)</x:f>
        <x:v>56.56166187024025</x:v>
      </x:c>
      <x:c r="N6" s="145" t="n">
        <x:f>D6/('Historical'!G21/'Historical'!G36)</x:f>
        <x:v>122.78140752710102</x:v>
      </x:c>
      <x:c r="O6" s="196" t="n">
        <x:f>('Assumptions'!C12-'Assumptions'!C8-'Assumptions'!C9)/(G6*J6)</x:f>
        <x:v>-3.1250290819412783</x:v>
      </x:c>
      <x:c r="P6" s="7" t="str">
        <x:v>FY2025 EBIT plus D&amp;A, with stock compensation retained, and Q1 FY2026 cash/debt. Peers may use adjusted EBITDA. EV deducts all cash/investments; the DCF holds back the reserve.</x:v>
      </x:c>
    </x:row>
    <x:row r="7" ht="28" customHeight="1">
      <x:c r="A7" s="4"/>
      <x:c r="B7" s="6" t="str">
        <x:v>Chipotle Mexican Grill</x:v>
      </x:c>
      <x:c r="C7" s="6" t="str">
        <x:v>CMG</x:v>
      </x:c>
      <x:c r="D7" s="10" t="str">
        <x:v>N/V</x:v>
      </x:c>
      <x:c r="E7" s="192" t="str">
        <x:v>N/V</x:v>
      </x:c>
      <x:c r="F7" s="192" t="str">
        <x:v>N/V</x:v>
      </x:c>
      <x:c r="G7" s="98" t="n">
        <x:v>11900</x:v>
      </x:c>
      <x:c r="H7" s="102" t="n">
        <x:v>0.054</x:v>
      </x:c>
      <x:c r="I7" s="102" t="n">
        <x:v>0.162</x:v>
      </x:c>
      <x:c r="J7" s="102" t="n">
        <x:v>0.195</x:v>
      </x:c>
      <x:c r="K7" s="15" t="str">
        <x:v>N/D</x:v>
      </x:c>
      <x:c r="L7" s="194" t="str">
        <x:f>IFERROR(F7/G7,"N/V")</x:f>
        <x:v>N/V</x:v>
      </x:c>
      <x:c r="M7" s="194" t="str">
        <x:f>IFERROR(F7/(G7*J7),"N/V")</x:f>
        <x:v>N/V</x:v>
      </x:c>
      <x:c r="N7" s="197" t="str">
        <x:v>N/V</x:v>
      </x:c>
      <x:c r="O7" s="93" t="n">
        <x:v>-0.7</x:v>
      </x:c>
      <x:c r="P7" s="7" t="str">
        <x:v>Larger, slower-growing company with established restaurant profits</x:v>
      </x:c>
    </x:row>
    <x:row r="8" ht="28" customHeight="1">
      <x:c r="A8" s="4"/>
      <x:c r="B8" s="6" t="str">
        <x:v>Shake Shack</x:v>
      </x:c>
      <x:c r="C8" s="6" t="str">
        <x:v>SHAK</x:v>
      </x:c>
      <x:c r="D8" s="10" t="str">
        <x:v>N/V</x:v>
      </x:c>
      <x:c r="E8" s="192" t="str">
        <x:v>N/V</x:v>
      </x:c>
      <x:c r="F8" s="192" t="str">
        <x:v>N/V</x:v>
      </x:c>
      <x:c r="G8" s="98" t="n">
        <x:v>1445.3</x:v>
      </x:c>
      <x:c r="H8" s="102" t="n">
        <x:v>0.154</x:v>
      </x:c>
      <x:c r="I8" s="102" t="n">
        <x:v>0.043</x:v>
      </x:c>
      <x:c r="J8" s="102" t="n">
        <x:v>0.145</x:v>
      </x:c>
      <x:c r="K8" s="15" t="str">
        <x:v>N/D</x:v>
      </x:c>
      <x:c r="L8" s="194" t="str">
        <x:f>IFERROR(F8/G8,"N/V")</x:f>
        <x:v>N/V</x:v>
      </x:c>
      <x:c r="M8" s="194" t="str">
        <x:f>IFERROR(F8/(G8*J8),"N/V")</x:f>
        <x:v>N/V</x:v>
      </x:c>
      <x:c r="N8" s="197" t="str">
        <x:v>N/V</x:v>
      </x:c>
      <x:c r="O8" s="93" t="n">
        <x:v>-0.5</x:v>
      </x:c>
      <x:c r="P8" s="7" t="str">
        <x:v>Company-operated restaurants. Different licensing mix and lower margins</x:v>
      </x:c>
    </x:row>
    <x:row r="9" ht="28" customHeight="1">
      <x:c r="A9" s="4"/>
      <x:c r="B9" s="6" t="str">
        <x:v>Wingstop</x:v>
      </x:c>
      <x:c r="C9" s="6" t="str">
        <x:v>WING</x:v>
      </x:c>
      <x:c r="D9" s="10" t="str">
        <x:v>N/V</x:v>
      </x:c>
      <x:c r="E9" s="192" t="str">
        <x:v>N/V</x:v>
      </x:c>
      <x:c r="F9" s="192" t="str">
        <x:v>N/V</x:v>
      </x:c>
      <x:c r="G9" s="98" t="n">
        <x:v>696.9</x:v>
      </x:c>
      <x:c r="H9" s="102" t="n">
        <x:v>0.114</x:v>
      </x:c>
      <x:c r="I9" s="102" t="n">
        <x:v>0.33</x:v>
      </x:c>
      <x:c r="J9" s="102" t="n">
        <x:v>0.35</x:v>
      </x:c>
      <x:c r="K9" s="15" t="str">
        <x:v>N/D</x:v>
      </x:c>
      <x:c r="L9" s="194" t="str">
        <x:f>IFERROR(F9/G9,"N/V")</x:f>
        <x:v>N/V</x:v>
      </x:c>
      <x:c r="M9" s="194" t="str">
        <x:f>IFERROR(F9/(G9*J9),"N/V")</x:f>
        <x:v>N/V</x:v>
      </x:c>
      <x:c r="N9" s="197" t="str">
        <x:v>N/V</x:v>
      </x:c>
      <x:c r="O9" s="93" t="n">
        <x:v>2.8</x:v>
      </x:c>
      <x:c r="P9" s="7" t="str">
        <x:v>Mostly franchised. Requires less spending on restaurant construction</x:v>
      </x:c>
    </x:row>
    <x:row r="10" ht="23" customHeight="1">
      <x:c r="A10" s="4"/>
      <x:c r="B10" s="4"/>
      <x:c r="C10" s="4"/>
      <x:c r="D10" s="4"/>
      <x:c r="E10" s="4"/>
      <x:c r="F10" s="4"/>
      <x:c r="G10" s="4"/>
      <x:c r="H10" s="4"/>
      <x:c r="I10" s="4"/>
      <x:c r="J10" s="4"/>
      <x:c r="K10" s="4"/>
      <x:c r="L10" s="4"/>
      <x:c r="M10" s="4"/>
      <x:c r="N10" s="4"/>
      <x:c r="O10" s="4"/>
      <x:c r="P10" s="4"/>
    </x:row>
    <x:row r="11" ht="23" customHeight="1">
      <x:c r="A11" s="4"/>
      <x:c r="B11" s="4"/>
      <x:c r="C11" s="4"/>
      <x:c r="D11" s="4"/>
      <x:c r="E11" s="4"/>
      <x:c r="F11" s="4"/>
      <x:c r="G11" s="4"/>
      <x:c r="H11" s="4"/>
      <x:c r="I11" s="4"/>
      <x:c r="J11" s="4"/>
      <x:c r="K11" s="4"/>
      <x:c r="L11" s="4"/>
      <x:c r="M11" s="4"/>
      <x:c r="N11" s="4"/>
      <x:c r="O11" s="4"/>
      <x:c r="P11" s="4"/>
    </x:row>
    <x:row r="12" ht="23" customHeight="1">
      <x:c r="A12" s="4"/>
      <x:c r="B12" s="4"/>
      <x:c r="C12" s="4"/>
      <x:c r="D12" s="4"/>
      <x:c r="E12" s="4"/>
      <x:c r="F12" s="4"/>
      <x:c r="G12" s="4"/>
      <x:c r="H12" s="4"/>
      <x:c r="I12" s="4"/>
      <x:c r="J12" s="4"/>
      <x:c r="K12" s="4"/>
      <x:c r="L12" s="4"/>
      <x:c r="M12" s="4"/>
      <x:c r="N12" s="4"/>
      <x:c r="O12" s="4"/>
      <x:c r="P12" s="4"/>
    </x:row>
    <x:row r="13" ht="24" customHeight="1">
      <x:c r="A13" s="4"/>
      <x:c r="B13" s="44" t="str">
        <x:v>Peer operating data provide context across different fiscal periods and EBITDA definitions. Unverified peer prices, market</x:v>
      </x:c>
      <x:c r="C13" s="26"/>
      <x:c r="D13" s="26"/>
      <x:c r="E13" s="26"/>
      <x:c r="F13" s="26"/>
      <x:c r="G13" s="26"/>
      <x:c r="H13" s="26"/>
      <x:c r="I13" s="26"/>
      <x:c r="J13" s="26"/>
      <x:c r="K13" s="26"/>
      <x:c r="L13" s="26"/>
      <x:c r="M13" s="26"/>
      <x:c r="N13" s="26"/>
      <x:c r="O13" s="26"/>
      <x:c r="P13" s="26"/>
    </x:row>
    <x:row r="14" ht="24" customHeight="1">
      <x:c r="A14" s="4"/>
      <x:c r="B14" s="45" t="str">
        <x:v>capitalizations, enterprise values and P/E ratios are N/V. They do not set this DCF or the analyst-selected exit multiple.</x:v>
      </x:c>
      <x:c r="C14" s="4"/>
      <x:c r="D14" s="4"/>
      <x:c r="E14" s="4"/>
      <x:c r="F14" s="4"/>
      <x:c r="G14" s="4"/>
      <x:c r="H14" s="4"/>
      <x:c r="I14" s="4"/>
      <x:c r="J14" s="4"/>
      <x:c r="K14" s="4"/>
      <x:c r="L14" s="4"/>
      <x:c r="M14" s="4"/>
      <x:c r="N14" s="4"/>
      <x:c r="O14" s="4"/>
      <x:c r="P14" s="4"/>
    </x:row>
    <x:row r="15" ht="23" customHeight="1">
      <x:c r="A15" s="4"/>
      <x:c r="B15" s="4"/>
      <x:c r="C15" s="4"/>
      <x:c r="D15" s="4"/>
      <x:c r="E15" s="4"/>
      <x:c r="F15" s="4"/>
      <x:c r="G15" s="4"/>
      <x:c r="H15" s="4"/>
      <x:c r="I15" s="4"/>
      <x:c r="J15" s="4"/>
      <x:c r="K15" s="4"/>
      <x:c r="L15" s="4"/>
      <x:c r="M15" s="4"/>
      <x:c r="N15" s="4"/>
      <x:c r="O15" s="4"/>
      <x:c r="P15" s="4"/>
    </x:row>
    <x:row r="16" ht="23" customHeight="1">
      <x:c r="A16" s="4"/>
      <x:c r="B16" s="4"/>
      <x:c r="C16" s="4"/>
      <x:c r="D16" s="4"/>
      <x:c r="E16" s="4"/>
      <x:c r="F16" s="4"/>
      <x:c r="G16" s="4"/>
      <x:c r="H16" s="4"/>
      <x:c r="I16" s="4"/>
      <x:c r="J16" s="4"/>
      <x:c r="K16" s="4"/>
      <x:c r="L16" s="4"/>
      <x:c r="M16" s="4"/>
      <x:c r="N16" s="4"/>
      <x:c r="O16" s="4"/>
      <x:c r="P16" s="4"/>
    </x:row>
    <x:row r="17" ht="23" customHeight="1">
      <x:c r="A17" s="4"/>
      <x:c r="B17" s="4"/>
      <x:c r="C17" s="4"/>
      <x:c r="D17" s="4"/>
      <x:c r="E17" s="4"/>
      <x:c r="F17" s="4"/>
      <x:c r="G17" s="4"/>
      <x:c r="H17" s="4"/>
      <x:c r="I17" s="4"/>
      <x:c r="J17" s="4"/>
      <x:c r="K17" s="4"/>
      <x:c r="L17" s="4"/>
      <x:c r="M17" s="4"/>
      <x:c r="N17" s="4"/>
      <x:c r="O17" s="4"/>
      <x:c r="P17" s="4"/>
    </x:row>
    <x:row r="18" ht="23" customHeight="1">
      <x:c r="A18" s="4"/>
      <x:c r="B18" s="4"/>
      <x:c r="C18" s="4"/>
      <x:c r="D18" s="4"/>
      <x:c r="E18" s="4"/>
      <x:c r="F18" s="4"/>
      <x:c r="G18" s="4"/>
      <x:c r="H18" s="4"/>
      <x:c r="I18" s="4"/>
      <x:c r="J18" s="4"/>
      <x:c r="K18" s="4"/>
      <x:c r="L18" s="4"/>
      <x:c r="M18" s="4"/>
      <x:c r="N18" s="4"/>
      <x:c r="O18" s="4"/>
      <x:c r="P18" s="4"/>
    </x:row>
    <x:row r="19" ht="23" customHeight="1">
      <x:c r="A19" s="4"/>
      <x:c r="B19" s="4"/>
      <x:c r="C19" s="4"/>
      <x:c r="D19" s="4"/>
      <x:c r="E19" s="4"/>
      <x:c r="F19" s="4"/>
      <x:c r="G19" s="4"/>
      <x:c r="H19" s="4"/>
      <x:c r="I19" s="4"/>
      <x:c r="J19" s="4"/>
      <x:c r="K19" s="4"/>
      <x:c r="L19" s="4"/>
      <x:c r="M19" s="4"/>
      <x:c r="N19" s="4"/>
      <x:c r="O19" s="4"/>
      <x:c r="P19" s="4"/>
    </x:row>
    <x:row r="20" ht="23" customHeight="1">
      <x:c r="A20" s="4"/>
      <x:c r="B20" s="4"/>
      <x:c r="C20" s="4"/>
      <x:c r="D20" s="4"/>
      <x:c r="E20" s="4"/>
      <x:c r="F20" s="4"/>
      <x:c r="G20" s="4"/>
      <x:c r="H20" s="4"/>
      <x:c r="I20" s="4"/>
      <x:c r="J20" s="4"/>
      <x:c r="K20" s="4"/>
      <x:c r="L20" s="4"/>
      <x:c r="M20" s="4"/>
      <x:c r="N20" s="4"/>
      <x:c r="O20" s="4"/>
      <x:c r="P20" s="4"/>
    </x:row>
    <x:row r="21" ht="23" customHeight="1">
      <x:c r="A21" s="4"/>
      <x:c r="B21" s="4"/>
      <x:c r="C21" s="4"/>
      <x:c r="D21" s="4"/>
      <x:c r="E21" s="4"/>
      <x:c r="F21" s="4"/>
      <x:c r="G21" s="4"/>
      <x:c r="H21" s="4"/>
      <x:c r="I21" s="4"/>
      <x:c r="J21" s="4"/>
      <x:c r="K21" s="4"/>
      <x:c r="L21" s="4"/>
      <x:c r="M21" s="4"/>
      <x:c r="N21" s="4"/>
      <x:c r="O21" s="4"/>
      <x:c r="P21" s="4"/>
    </x:row>
    <x:row r="22" ht="23" customHeight="1">
      <x:c r="A22" s="4"/>
      <x:c r="B22" s="4"/>
      <x:c r="C22" s="4"/>
      <x:c r="D22" s="4"/>
      <x:c r="E22" s="4"/>
      <x:c r="F22" s="4"/>
      <x:c r="G22" s="4"/>
      <x:c r="H22" s="4"/>
      <x:c r="I22" s="4"/>
      <x:c r="J22" s="4"/>
      <x:c r="K22" s="4"/>
      <x:c r="L22" s="4"/>
      <x:c r="M22" s="4"/>
      <x:c r="N22" s="4"/>
      <x:c r="O22" s="4"/>
      <x:c r="P22" s="4"/>
    </x:row>
    <x:row r="23" ht="23" customHeight="1">
      <x:c r="A23" s="4"/>
      <x:c r="B23" s="4"/>
      <x:c r="C23" s="4"/>
      <x:c r="D23" s="4"/>
      <x:c r="E23" s="4"/>
      <x:c r="F23" s="4"/>
      <x:c r="G23" s="4"/>
      <x:c r="H23" s="4"/>
      <x:c r="I23" s="4"/>
      <x:c r="J23" s="4"/>
      <x:c r="K23" s="4"/>
      <x:c r="L23" s="4"/>
      <x:c r="M23" s="4"/>
      <x:c r="N23" s="4"/>
      <x:c r="O23" s="4"/>
      <x:c r="P23" s="4"/>
    </x:row>
    <x:row r="24" ht="23" customHeight="1">
      <x:c r="A24" s="4"/>
      <x:c r="B24" s="4"/>
      <x:c r="C24" s="4"/>
      <x:c r="D24" s="4"/>
      <x:c r="E24" s="4"/>
      <x:c r="F24" s="4"/>
      <x:c r="G24" s="4"/>
      <x:c r="H24" s="4"/>
      <x:c r="I24" s="4"/>
      <x:c r="J24" s="4"/>
      <x:c r="K24" s="4"/>
      <x:c r="L24" s="4"/>
      <x:c r="M24" s="4"/>
      <x:c r="N24" s="4"/>
      <x:c r="O24" s="4"/>
      <x:c r="P24" s="4"/>
    </x:row>
    <x:row r="25" ht="23" customHeight="1">
      <x:c r="A25" s="4"/>
      <x:c r="B25" s="4"/>
      <x:c r="C25" s="4"/>
      <x:c r="D25" s="4"/>
      <x:c r="E25" s="4"/>
      <x:c r="F25" s="4"/>
      <x:c r="G25" s="4"/>
      <x:c r="H25" s="4"/>
      <x:c r="I25" s="4"/>
      <x:c r="J25" s="4"/>
      <x:c r="K25" s="4"/>
      <x:c r="L25" s="4"/>
      <x:c r="M25" s="4"/>
      <x:c r="N25" s="4"/>
      <x:c r="O25" s="4"/>
      <x:c r="P25" s="4"/>
    </x:row>
    <x:row r="26" ht="23" customHeight="1">
      <x:c r="A26" s="4"/>
      <x:c r="B26" s="4"/>
      <x:c r="C26" s="4"/>
      <x:c r="D26" s="4"/>
      <x:c r="E26" s="4"/>
      <x:c r="F26" s="4"/>
      <x:c r="G26" s="4"/>
      <x:c r="H26" s="4"/>
      <x:c r="I26" s="4"/>
      <x:c r="J26" s="4"/>
      <x:c r="K26" s="4"/>
      <x:c r="L26" s="4"/>
      <x:c r="M26" s="4"/>
      <x:c r="N26" s="4"/>
      <x:c r="O26" s="4"/>
      <x:c r="P26" s="4"/>
    </x:row>
    <x:row r="27" ht="23" customHeight="1">
      <x:c r="A27" s="4"/>
      <x:c r="B27" s="4"/>
      <x:c r="C27" s="4"/>
      <x:c r="D27" s="4"/>
      <x:c r="E27" s="4"/>
      <x:c r="F27" s="4"/>
      <x:c r="G27" s="4"/>
      <x:c r="H27" s="4"/>
      <x:c r="I27" s="4"/>
      <x:c r="J27" s="4"/>
      <x:c r="K27" s="4"/>
      <x:c r="L27" s="4"/>
      <x:c r="M27" s="4"/>
      <x:c r="N27" s="4"/>
      <x:c r="O27" s="4"/>
      <x:c r="P27" s="4"/>
    </x:row>
    <x:row r="28" ht="23" customHeight="1">
      <x:c r="A28" s="4"/>
      <x:c r="B28" s="4"/>
      <x:c r="C28" s="4"/>
      <x:c r="D28" s="4"/>
      <x:c r="E28" s="4"/>
      <x:c r="F28" s="4"/>
      <x:c r="G28" s="4"/>
      <x:c r="H28" s="4"/>
      <x:c r="I28" s="4"/>
      <x:c r="J28" s="4"/>
      <x:c r="K28" s="4"/>
      <x:c r="L28" s="4"/>
      <x:c r="M28" s="4"/>
      <x:c r="N28" s="4"/>
      <x:c r="O28" s="4"/>
      <x:c r="P28" s="4"/>
    </x:row>
    <x:row r="29" ht="23" customHeight="1">
      <x:c r="A29" s="4"/>
      <x:c r="B29" s="4"/>
      <x:c r="C29" s="4"/>
      <x:c r="D29" s="4"/>
      <x:c r="E29" s="4"/>
      <x:c r="F29" s="4"/>
      <x:c r="G29" s="4"/>
      <x:c r="H29" s="4"/>
      <x:c r="I29" s="4"/>
      <x:c r="J29" s="4"/>
      <x:c r="K29" s="4"/>
      <x:c r="L29" s="4"/>
      <x:c r="M29" s="4"/>
      <x:c r="N29" s="4"/>
      <x:c r="O29" s="4"/>
      <x:c r="P29" s="4"/>
    </x:row>
    <x:row r="30" ht="23" customHeight="1">
      <x:c r="A30" s="4"/>
      <x:c r="B30" s="4"/>
      <x:c r="C30" s="4"/>
      <x:c r="D30" s="4"/>
      <x:c r="E30" s="4"/>
      <x:c r="F30" s="4"/>
      <x:c r="G30" s="4"/>
      <x:c r="H30" s="4"/>
      <x:c r="I30" s="4"/>
      <x:c r="J30" s="4"/>
      <x:c r="K30" s="4"/>
      <x:c r="L30" s="4"/>
      <x:c r="M30" s="4"/>
      <x:c r="N30" s="4"/>
      <x:c r="O30" s="4"/>
      <x:c r="P30" s="4"/>
    </x:row>
  </x:sheetData>
  <x:pageMargins left="0.7" right="0.7" top="0.75" bottom="0.75" header="0.3" footer="0.3"/>
</x:worksheet>
</file>

<file path=xl/worksheets/sheet13.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8" hidden="0" customWidth="1"/>
    <x:col min="2" max="2" width="33" hidden="0" customWidth="1"/>
    <x:col min="3" max="3" width="19" hidden="0" customWidth="1"/>
    <x:col min="4" max="4" width="19" hidden="0" customWidth="1"/>
    <x:col min="5" max="5" width="19" hidden="0" customWidth="1"/>
    <x:col min="6" max="6" width="54" hidden="0" customWidth="1"/>
    <x:col min="7" max="7" width="52" hidden="0" customWidth="1"/>
    <x:col min="8" max="8" width="35" hidden="0" customWidth="1"/>
    <x:col min="9" max="9" width="35" hidden="0" customWidth="1"/>
  </x:cols>
  <x:sheetData>
    <x:row r="1" ht="31" customHeight="1">
      <x:c r="A1" s="178" t="str">
        <x:v>Assumption Notes</x:v>
      </x:c>
      <x:c r="B1" s="22"/>
      <x:c r="C1" s="22"/>
      <x:c r="D1" s="22"/>
      <x:c r="E1" s="22"/>
      <x:c r="F1" s="22"/>
      <x:c r="G1" s="22"/>
      <x:c r="H1" s="22"/>
      <x:c r="I1" s="22"/>
    </x:row>
    <x:row r="2" ht="34" customHeight="1">
      <x:c r="A2" s="44" t="str">
        <x:v>Reported figures, calculations and estimates are labeled separately.</x:v>
      </x:c>
      <x:c r="B2" s="26"/>
      <x:c r="C2" s="26"/>
      <x:c r="D2" s="26"/>
      <x:c r="E2" s="26"/>
      <x:c r="F2" s="26"/>
      <x:c r="G2" s="26"/>
      <x:c r="H2" s="26"/>
      <x:c r="I2" s="26"/>
    </x:row>
    <x:row r="3" ht="23" customHeight="1">
      <x:c r="A3" s="4"/>
      <x:c r="B3" s="4"/>
      <x:c r="C3" s="4"/>
      <x:c r="D3" s="4"/>
      <x:c r="E3" s="4"/>
      <x:c r="F3" s="4"/>
      <x:c r="G3" s="4"/>
      <x:c r="H3" s="4"/>
      <x:c r="I3" s="4"/>
    </x:row>
    <x:row r="4" ht="25" customHeight="1">
      <x:c r="A4" s="4"/>
      <x:c r="B4" s="57" t="str">
        <x:v>Assumption Notes</x:v>
      </x:c>
      <x:c r="C4" s="58"/>
      <x:c r="D4" s="58"/>
      <x:c r="E4" s="58"/>
      <x:c r="F4" s="58"/>
      <x:c r="G4" s="58"/>
      <x:c r="H4" s="58"/>
      <x:c r="I4" s="58"/>
    </x:row>
    <x:row r="5" ht="34" customHeight="1">
      <x:c r="A5" s="42"/>
      <x:c r="B5" s="40" t="str">
        <x:v>ID</x:v>
      </x:c>
      <x:c r="C5" s="40" t="str">
        <x:v>Assumption</x:v>
      </x:c>
      <x:c r="D5" s="40" t="str">
        <x:v>Case / period</x:v>
      </x:c>
      <x:c r="E5" s="40" t="str">
        <x:v>Value</x:v>
      </x:c>
      <x:c r="F5" s="40" t="str">
        <x:v>Historical support / source</x:v>
      </x:c>
      <x:c r="G5" s="40" t="str">
        <x:v>Reason for the estimate</x:v>
      </x:c>
      <x:c r="H5" s="40" t="str">
        <x:v>What could prove it wrong</x:v>
      </x:c>
      <x:c r="I5" s="40" t="str">
        <x:v>Classification</x:v>
      </x:c>
    </x:row>
    <x:row r="6" ht="50" customHeight="1">
      <x:c r="A6" s="4"/>
      <x:c r="B6" s="6" t="str">
        <x:v>A01</x:v>
      </x:c>
      <x:c r="C6" s="6" t="str">
        <x:v>FY2026 openings</x:v>
      </x:c>
      <x:c r="D6" s="6" t="str">
        <x:v>Base FY2026</x:v>
      </x:c>
      <x:c r="E6" s="93" t="n">
        <x:v>76</x:v>
      </x:c>
      <x:c r="F6" s="6" t="str">
        <x:v>C03 guidance 75-77</x:v>
      </x:c>
      <x:c r="G6" s="7" t="str">
        <x:v>Midpoint; ties model to latest official outlook</x:v>
      </x:c>
      <x:c r="H6" s="6" t="str">
        <x:v>Permitting delays or lower guide</x:v>
      </x:c>
      <x:c r="I6" s="6" t="str">
        <x:v>Analyst estimate</x:v>
      </x:c>
    </x:row>
    <x:row r="7" ht="50" customHeight="1">
      <x:c r="A7" s="4"/>
      <x:c r="B7" s="6" t="str">
        <x:v>A02</x:v>
      </x:c>
      <x:c r="C7" s="6" t="str">
        <x:v>Same-restaurant sales</x:v>
      </x:c>
      <x:c r="D7" s="6" t="str">
        <x:v>Base FY2026</x:v>
      </x:c>
      <x:c r="E7" s="102" t="n">
        <x:v>0.055</x:v>
      </x:c>
      <x:c r="F7" s="6" t="str">
        <x:v>C03 guidance 4.5%-6.5%; Q1 +9.7%</x:v>
      </x:c>
      <x:c r="G7" s="7" t="str">
        <x:v>Midpoint avoids annualizing unusually strong Q1</x:v>
      </x:c>
      <x:c r="H7" s="6" t="str">
        <x:v>Traffic falls below guidance</x:v>
      </x:c>
      <x:c r="I7" s="6" t="str">
        <x:v>Analyst estimate</x:v>
      </x:c>
    </x:row>
    <x:row r="8" ht="50" customHeight="1">
      <x:c r="A8" s="4"/>
      <x:c r="B8" s="6" t="str">
        <x:v>A03</x:v>
      </x:c>
      <x:c r="C8" s="6" t="str">
        <x:v>Restaurant-level margin</x:v>
      </x:c>
      <x:c r="D8" s="6" t="str">
        <x:v>Base FY2026</x:v>
      </x:c>
      <x:c r="E8" s="93" t="n">
        <x:v>0.24</x:v>
      </x:c>
      <x:c r="F8" s="6" t="str">
        <x:v>C03 guidance 23.7%-24.3%</x:v>
      </x:c>
      <x:c r="G8" s="7" t="str">
        <x:v>Guidance midpoint. Later sales rise faster than restaurant costs</x:v>
      </x:c>
      <x:c r="H8" s="7" t="str">
        <x:v>Food/labor inflation exceeds price/productivity</x:v>
      </x:c>
      <x:c r="I8" s="6" t="str">
        <x:v>Analyst estimate</x:v>
      </x:c>
    </x:row>
    <x:row r="9" ht="50" customHeight="1">
      <x:c r="A9" s="4"/>
      <x:c r="B9" s="6" t="str">
        <x:v>A04</x:v>
      </x:c>
      <x:c r="C9" s="6" t="str">
        <x:v>New-store first-year sales</x:v>
      </x:c>
      <x:c r="D9" s="6" t="str">
        <x:v>All cases</x:v>
      </x:c>
      <x:c r="E9" s="93" t="n">
        <x:v>0.45</x:v>
      </x:c>
      <x:c r="F9" s="7" t="str">
        <x:v>Reported mature AUV covers stores with full trailing 13-period sales. Opening-cohort productivity is not reported.</x:v>
      </x:c>
      <x:c r="G9" s="7" t="str">
        <x:v>Opening-year sales use 45% of mature AUV, the following year 90%, then 100%. These are explicit cohort assumptions.</x:v>
      </x:c>
      <x:c r="H9" s="7" t="str">
        <x:v>Most openings occur late in the year</x:v>
      </x:c>
      <x:c r="I9" s="6" t="str">
        <x:v>Analyst estimate</x:v>
      </x:c>
    </x:row>
    <x:row r="10" ht="50" customHeight="1">
      <x:c r="A10" s="4"/>
      <x:c r="B10" s="6" t="str">
        <x:v>A05</x:v>
      </x:c>
      <x:c r="C10" s="6" t="str">
        <x:v>G&amp;A / revenue</x:v>
      </x:c>
      <x:c r="D10" s="6" t="str">
        <x:v>Base FY2035</x:v>
      </x:c>
      <x:c r="E10" s="93" t="n">
        <x:v>0.068</x:v>
      </x:c>
      <x:c r="F10" s="6" t="str">
        <x:v>FY2025 11.7%; Q1 adjusted 9.9%</x:v>
      </x:c>
      <x:c r="G10" s="7" t="str">
        <x:v>Corporate costs grow more slowly than revenue</x:v>
      </x:c>
      <x:c r="H10" s="6" t="str">
        <x:v>Support costs track revenue</x:v>
      </x:c>
      <x:c r="I10" s="6" t="str">
        <x:v>Analyst estimate</x:v>
      </x:c>
    </x:row>
    <x:row r="11" ht="50" customHeight="1">
      <x:c r="A11" s="4"/>
      <x:c r="B11" s="6" t="str">
        <x:v>A06</x:v>
      </x:c>
      <x:c r="C11" s="6" t="str">
        <x:v>New-store capex</x:v>
      </x:c>
      <x:c r="D11" s="6" t="str">
        <x:v>Base FY2026</x:v>
      </x:c>
      <x:c r="E11" s="196" t="n">
        <x:f>'Assumptions'!C42</x:f>
        <x:v>1.8</x:v>
      </x:c>
      <x:c r="F11" s="7" t="str">
        <x:v>Initial per-opening cost is an estimate. Nominal inflation: 3% base, 3.5% downside and 2% upside.</x:v>
      </x:c>
      <x:c r="G11" s="7" t="str">
        <x:v>Construction cost grows annually. Maintenance and shared infrastructure are separate.</x:v>
      </x:c>
      <x:c r="H11" s="7" t="str">
        <x:v>Construction inflation or format complexity</x:v>
      </x:c>
      <x:c r="I11" s="6" t="str">
        <x:v>Analyst estimate</x:v>
      </x:c>
    </x:row>
    <x:row r="12" ht="50" customHeight="1">
      <x:c r="A12" s="4"/>
      <x:c r="B12" s="6" t="str">
        <x:v>A07</x:v>
      </x:c>
      <x:c r="C12" s="6" t="str">
        <x:v>Maintenance capex</x:v>
      </x:c>
      <x:c r="D12" s="6" t="str">
        <x:v>Base</x:v>
      </x:c>
      <x:c r="E12" s="93" t="n">
        <x:v>0.015</x:v>
      </x:c>
      <x:c r="F12" s="6" t="str">
        <x:v>Not separately disclosed</x:v>
      </x:c>
      <x:c r="G12" s="7" t="str">
        <x:v>Allows for recurring restaurant repairs and renovations</x:v>
      </x:c>
      <x:c r="H12" s="7" t="str">
        <x:v>Store refresh data imply higher need</x:v>
      </x:c>
      <x:c r="I12" s="6" t="str">
        <x:v>Analyst estimate</x:v>
      </x:c>
    </x:row>
    <x:row r="13" ht="50" customHeight="1">
      <x:c r="A13" s="4"/>
      <x:c r="B13" s="6" t="str">
        <x:v>A08</x:v>
      </x:c>
      <x:c r="C13" s="6" t="str">
        <x:v>Operating NWC / revenue</x:v>
      </x:c>
      <x:c r="D13" s="6" t="str">
        <x:v>Base</x:v>
      </x:c>
      <x:c r="E13" s="93" t="n">
        <x:v>-0.01</x:v>
      </x:c>
      <x:c r="F13" s="7" t="str">
        <x:v>Cash restaurant model; historical WC effects small/variable</x:v>
      </x:c>
      <x:c r="G13" s="7" t="str">
        <x:v>Growth produces modest source of cash</x:v>
      </x:c>
      <x:c r="H13" s="6" t="str">
        <x:v>Inventory/receivable buildup</x:v>
      </x:c>
      <x:c r="I13" s="6" t="str">
        <x:v>Analyst estimate</x:v>
      </x:c>
    </x:row>
    <x:row r="14" ht="50" customHeight="1">
      <x:c r="A14" s="4"/>
      <x:c r="B14" s="6" t="str">
        <x:v>A09</x:v>
      </x:c>
      <x:c r="C14" s="6" t="str">
        <x:v>Forecast tax rate</x:v>
      </x:c>
      <x:c r="D14" s="6" t="str">
        <x:v>Base</x:v>
      </x:c>
      <x:c r="E14" s="93" t="n">
        <x:v>0.25</x:v>
      </x:c>
      <x:c r="F14" s="7" t="str">
        <x:v>FY2024 distorted by deferred-tax benefit</x:v>
      </x:c>
      <x:c r="G14" s="7" t="str">
        <x:v>Long-run U.S. corporate rate plus state taxes</x:v>
      </x:c>
      <x:c r="H14" s="7" t="str">
        <x:v>Sustained tax benefits or higher state mix</x:v>
      </x:c>
      <x:c r="I14" s="6" t="str">
        <x:v>Analyst estimate</x:v>
      </x:c>
    </x:row>
    <x:row r="15" ht="50" customHeight="1">
      <x:c r="A15" s="4"/>
      <x:c r="B15" s="6" t="str">
        <x:v>A10</x:v>
      </x:c>
      <x:c r="C15" s="6" t="str">
        <x:v>Beta blend</x:v>
      </x:c>
      <x:c r="D15" s="6" t="str">
        <x:v>Selected</x:v>
      </x:c>
      <x:c r="E15" s="151" t="n">
        <x:f>'WACC'!C11</x:f>
        <x:v>1.2650000000000001</x:v>
      </x:c>
      <x:c r="F15" s="7" t="str">
        <x:v>January 2026 restaurant cash-corrected operating beta 0.78. Company risk assumption 1.75.</x:v>
      </x:c>
      <x:c r="G15" s="7" t="str">
        <x:v>Blend of 1.75 company risk assumption and 0.78 cash-corrected industry operating beta. The 50/50 weighting is judgment.</x:v>
      </x:c>
      <x:c r="H15" s="7" t="str">
        <x:v>Risk estimate fails to reflect operating leverage or systematic exposure</x:v>
      </x:c>
      <x:c r="I15" s="6" t="str">
        <x:v>Derived judgment</x:v>
      </x:c>
    </x:row>
    <x:row r="16" ht="50" customHeight="1">
      <x:c r="A16" s="4"/>
      <x:c r="B16" s="6" t="str">
        <x:v>A11</x:v>
      </x:c>
      <x:c r="C16" s="6" t="str">
        <x:v>Terminal growth</x:v>
      </x:c>
      <x:c r="D16" s="6" t="str">
        <x:v>Base</x:v>
      </x:c>
      <x:c r="E16" s="93" t="n">
        <x:v>0.03</x:v>
      </x:c>
      <x:c r="F16" s="7" t="str">
        <x:v>Long-run economic growth including inflation</x:v>
      </x:c>
      <x:c r="G16" s="7" t="str">
        <x:v>Starts after ten years of restaurant growth</x:v>
      </x:c>
      <x:c r="H16" s="6" t="str">
        <x:v>Saturation arrives earlier</x:v>
      </x:c>
      <x:c r="I16" s="6" t="str">
        <x:v>Analyst estimate</x:v>
      </x:c>
    </x:row>
    <x:row r="17" ht="50" customHeight="1">
      <x:c r="A17" s="4"/>
      <x:c r="B17" s="6" t="str">
        <x:v>A12</x:v>
      </x:c>
      <x:c r="C17" s="6" t="str">
        <x:v>Implied EV / EBITDA</x:v>
      </x:c>
      <x:c r="D17" s="6" t="str">
        <x:v>Base</x:v>
      </x:c>
      <x:c r="E17" s="229" t="n">
        <x:f>'Assumptions'!C23</x:f>
        <x:v>6.886946830369812</x:v>
      </x:c>
      <x:c r="F17" s="7" t="str">
        <x:v>Terminal value / final-year EBITDA; same growth and reinvestment assumptions.</x:v>
      </x:c>
      <x:c r="G17" s="7" t="str">
        <x:v>Terminal reconciliation</x:v>
      </x:c>
      <x:c r="H17" s="7" t="str">
        <x:v>Growth, reinvestment or required return changes</x:v>
      </x:c>
      <x:c r="I17" s="6" t="str">
        <x:v>Derived</x:v>
      </x:c>
    </x:row>
    <x:row r="18" ht="50" customHeight="1">
      <x:c r="A18" s="4"/>
      <x:c r="B18" s="6" t="str">
        <x:v>A13</x:v>
      </x:c>
      <x:c r="C18" s="6" t="str">
        <x:v>Operating cash reserve</x:v>
      </x:c>
      <x:c r="D18" s="6" t="str">
        <x:v>Per-share calculation</x:v>
      </x:c>
      <x:c r="E18" s="93" t="n">
        <x:v>100</x:v>
      </x:c>
      <x:c r="F18" s="6" t="str">
        <x:v>No management minimum disclosed</x:v>
      </x:c>
      <x:c r="G18" s="7" t="str">
        <x:v>Keeps cash available for openings and unexpected costs</x:v>
      </x:c>
      <x:c r="H18" s="7" t="str">
        <x:v>Management needs a different cash reserve</x:v>
      </x:c>
      <x:c r="I18" s="6" t="str">
        <x:v>Analyst estimate</x:v>
      </x:c>
    </x:row>
    <x:row r="19" ht="50" customHeight="1">
      <x:c r="A19" s="4"/>
      <x:c r="B19" s="6" t="str">
        <x:v>A14</x:v>
      </x:c>
      <x:c r="C19" s="6" t="str">
        <x:v>Lease treatment</x:v>
      </x:c>
      <x:c r="D19" s="6" t="str">
        <x:v>All periods</x:v>
      </x:c>
      <x:c r="E19" s="6" t="str">
        <x:v>Expense model</x:v>
      </x:c>
      <x:c r="F19" s="7" t="str">
        <x:v>All restaurants are leased; rent in occupancy</x:v>
      </x:c>
      <x:c r="G19" s="7" t="str">
        <x:v>Avoids double counting rent and lease debt</x:v>
      </x:c>
      <x:c r="H19" s="6" t="str">
        <x:v>Lease-adjusted DCF adopted</x:v>
      </x:c>
      <x:c r="I19" s="6" t="str">
        <x:v>Method choice</x:v>
      </x:c>
    </x:row>
    <x:row r="20" ht="50" customHeight="1">
      <x:c r="A20" s="4"/>
      <x:c r="B20" s="6" t="str">
        <x:v>A15</x:v>
      </x:c>
      <x:c r="C20" s="6" t="str">
        <x:v>Stock-based compensation</x:v>
      </x:c>
      <x:c r="D20" s="6" t="str">
        <x:v>All periods</x:v>
      </x:c>
      <x:c r="E20" s="6" t="str">
        <x:v>Not added back</x:v>
      </x:c>
      <x:c r="F20" s="7" t="str">
        <x:v>Included in G&amp;A / historical operating costs</x:v>
      </x:c>
      <x:c r="G20" s="7" t="str">
        <x:v>Avoids treating recurring dilution cost as free cash</x:v>
      </x:c>
      <x:c r="H20" s="6" t="str">
        <x:v>SBC becomes immaterial</x:v>
      </x:c>
      <x:c r="I20" s="6" t="str">
        <x:v>Method choice</x:v>
      </x:c>
    </x:row>
    <x:row r="21" ht="50" customHeight="1">
      <x:c r="A21" s="4"/>
      <x:c r="B21" s="6" t="str">
        <x:v>A16</x:v>
      </x:c>
      <x:c r="C21" s="6" t="str">
        <x:v>Valuation-date diluted shares</x:v>
      </x:c>
      <x:c r="D21" s="6" t="str">
        <x:v>Per-share calculation</x:v>
      </x:c>
      <x:c r="E21" s="93" t="n">
        <x:v>118.448856</x:v>
      </x:c>
      <x:c r="F21" s="7" t="str">
        <x:v>C02: 116.474m current shares; Q1 basic 116.341m and diluted 118.316m.</x:v>
      </x:c>
      <x:c r="G21" s="7" t="str">
        <x:v>Uses current basic shares plus 1.975m for dilution. It does not use the Q1 weighted average.</x:v>
      </x:c>
      <x:c r="H21" s="7" t="str">
        <x:v>Issuance, buybacks or a different dilution estimate</x:v>
      </x:c>
      <x:c r="I21" s="6" t="str">
        <x:v>Derived estimate</x:v>
      </x:c>
    </x:row>
    <x:row r="22" ht="50" customHeight="1">
      <x:c r="A22" s="4"/>
      <x:c r="B22" s="116" t="str">
        <x:v>A17</x:v>
      </x:c>
      <x:c r="C22" s="116" t="str">
        <x:v>Second-year sales productivity</x:v>
      </x:c>
      <x:c r="D22" s="116" t="str">
        <x:v>Base</x:v>
      </x:c>
      <x:c r="E22" s="129" t="n">
        <x:f>'Assumptions'!G13</x:f>
        <x:v>0.9</x:v>
      </x:c>
      <x:c r="F22" s="116" t="str">
        <x:v>Analyst estimate</x:v>
      </x:c>
      <x:c r="G22" s="118" t="str">
        <x:v>Allows one extra year for new stores to approach mature sales.</x:v>
      </x:c>
      <x:c r="H22" s="118" t="str">
        <x:v>Reported cohort, cost or segment results differ</x:v>
      </x:c>
      <x:c r="I22" s="116" t="str">
        <x:v>Analyst estimate</x:v>
      </x:c>
    </x:row>
    <x:row r="23" ht="50" customHeight="1">
      <x:c r="A23" s="4"/>
      <x:c r="B23" s="116" t="str">
        <x:v>A18</x:v>
      </x:c>
      <x:c r="C23" s="116" t="str">
        <x:v>Construction-cost inflation</x:v>
      </x:c>
      <x:c r="D23" s="116" t="str">
        <x:v>Base</x:v>
      </x:c>
      <x:c r="E23" s="129" t="n">
        <x:f>'Assumptions'!G9</x:f>
        <x:v>0.03</x:v>
      </x:c>
      <x:c r="F23" s="116" t="str">
        <x:v>Analyst estimate</x:v>
      </x:c>
      <x:c r="G23" s="118" t="str">
        <x:v>Three percent nominal inflation is a forecast assumption.</x:v>
      </x:c>
      <x:c r="H23" s="118" t="str">
        <x:v>Reported cohort, cost or segment results differ</x:v>
      </x:c>
      <x:c r="I23" s="116" t="str">
        <x:v>Analyst estimate</x:v>
      </x:c>
    </x:row>
    <x:row r="24" ht="50" customHeight="1">
      <x:c r="A24" s="4"/>
      <x:c r="B24" s="116" t="str">
        <x:v>A19</x:v>
      </x:c>
      <x:c r="C24" s="116" t="str">
        <x:v>Terminal ROIC</x:v>
      </x:c>
      <x:c r="D24" s="116" t="str">
        <x:v>Base</x:v>
      </x:c>
      <x:c r="E24" s="129" t="n">
        <x:f>'Assumptions'!C75</x:f>
        <x:v>0.2</x:v>
      </x:c>
      <x:c r="F24" s="116" t="str">
        <x:v>Analyst estimate</x:v>
      </x:c>
      <x:c r="G24" s="118" t="str">
        <x:v>20% base, 15% downside and 25% upside; growth requires reinvestment.</x:v>
      </x:c>
      <x:c r="H24" s="118" t="str">
        <x:v>Reported cohort, cost or segment results differ</x:v>
      </x:c>
      <x:c r="I24" s="116" t="str">
        <x:v>Analyst estimate</x:v>
      </x:c>
    </x:row>
    <x:row r="25" ht="50" customHeight="1">
      <x:c r="A25" s="4"/>
      <x:c r="B25" s="116" t="str">
        <x:v>A20</x:v>
      </x:c>
      <x:c r="C25" s="116" t="str">
        <x:v>Other segment operating margin</x:v>
      </x:c>
      <x:c r="D25" s="116" t="str">
        <x:v>Base</x:v>
      </x:c>
      <x:c r="E25" s="129" t="n">
        <x:f>'Assumptions'!C31</x:f>
        <x:v>-0.5225476970514585</x:v>
      </x:c>
      <x:c r="F25" s="118" t="str">
        <x:v>C01 segment note; other revenue derived from consolidated less restaurant revenue.</x:v>
      </x:c>
      <x:c r="G25" s="118" t="str">
        <x:v>Carries the FY2025 loss margin; break-even is not assumed.</x:v>
      </x:c>
      <x:c r="H25" s="118" t="str">
        <x:v>Reported cohort, cost or segment results differ</x:v>
      </x:c>
      <x:c r="I25" s="116" t="str">
        <x:v>Derived assumption</x:v>
      </x:c>
    </x:row>
    <x:row r="26" ht="23" customHeight="1">
      <x:c r="A26" s="4"/>
      <x:c r="B26" s="4"/>
      <x:c r="C26" s="4"/>
      <x:c r="D26" s="4"/>
      <x:c r="E26" s="4"/>
      <x:c r="F26" s="4"/>
      <x:c r="G26" s="4"/>
      <x:c r="H26" s="4"/>
      <x:c r="I26" s="4"/>
    </x:row>
    <x:row r="27" ht="23" customHeight="1">
      <x:c r="A27" s="4"/>
      <x:c r="B27" s="4"/>
      <x:c r="C27" s="4"/>
      <x:c r="D27" s="4"/>
      <x:c r="E27" s="4"/>
      <x:c r="F27" s="4"/>
      <x:c r="G27" s="4"/>
      <x:c r="H27" s="4"/>
      <x:c r="I27" s="4"/>
    </x:row>
    <x:row r="28" ht="23" customHeight="1">
      <x:c r="A28" s="4"/>
      <x:c r="B28" s="4"/>
      <x:c r="C28" s="4"/>
      <x:c r="D28" s="4"/>
      <x:c r="E28" s="4"/>
      <x:c r="F28" s="4"/>
      <x:c r="G28" s="4"/>
      <x:c r="H28" s="4"/>
      <x:c r="I28" s="4"/>
    </x:row>
    <x:row r="29" ht="23" customHeight="1">
      <x:c r="A29" s="4"/>
      <x:c r="B29" s="4"/>
      <x:c r="C29" s="4"/>
      <x:c r="D29" s="4"/>
      <x:c r="E29" s="4"/>
      <x:c r="F29" s="4"/>
      <x:c r="G29" s="4"/>
      <x:c r="H29" s="4"/>
      <x:c r="I29" s="4"/>
    </x:row>
    <x:row r="30" ht="23" customHeight="1">
      <x:c r="A30" s="4"/>
      <x:c r="B30" s="4"/>
      <x:c r="C30" s="4"/>
      <x:c r="D30" s="4"/>
      <x:c r="E30" s="4"/>
      <x:c r="F30" s="4"/>
      <x:c r="G30" s="4"/>
      <x:c r="H30" s="4"/>
      <x:c r="I30" s="4"/>
    </x:row>
  </x:sheetData>
  <x:pageMargins left="0.7" right="0.7" top="0.75" bottom="0.75" header="0.3" footer="0.3"/>
</x:worksheet>
</file>

<file path=xl/worksheets/sheet14.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8" hidden="0" customWidth="1"/>
    <x:col min="2" max="2" width="33" hidden="0" customWidth="1"/>
    <x:col min="3" max="3" width="23" hidden="0" customWidth="1"/>
    <x:col min="4" max="4" width="23" hidden="0" customWidth="1"/>
    <x:col min="5" max="5" width="23" hidden="0" customWidth="1"/>
    <x:col min="6" max="6" width="54" hidden="0" customWidth="1"/>
    <x:col min="7" max="7" width="52" hidden="0" customWidth="1"/>
  </x:cols>
  <x:sheetData>
    <x:row r="1" ht="31" customHeight="1">
      <x:c r="A1" s="178" t="str">
        <x:v>Sources</x:v>
      </x:c>
      <x:c r="B1" s="22"/>
      <x:c r="C1" s="22"/>
      <x:c r="D1" s="22"/>
      <x:c r="E1" s="22"/>
      <x:c r="F1" s="22"/>
      <x:c r="G1" s="22"/>
    </x:row>
    <x:row r="2" ht="34" customHeight="1">
      <x:c r="A2" s="44" t="str">
        <x:v>Inputs have source IDs. Company filings and official releases are used first.</x:v>
      </x:c>
      <x:c r="B2" s="26"/>
      <x:c r="C2" s="26"/>
      <x:c r="D2" s="26"/>
      <x:c r="E2" s="26"/>
      <x:c r="F2" s="26"/>
      <x:c r="G2" s="26"/>
    </x:row>
    <x:row r="3" ht="23" customHeight="1">
      <x:c r="A3" s="4"/>
      <x:c r="B3" s="4"/>
      <x:c r="C3" s="4"/>
      <x:c r="D3" s="4"/>
      <x:c r="E3" s="4"/>
      <x:c r="F3" s="4"/>
      <x:c r="G3" s="4"/>
    </x:row>
    <x:row r="4" ht="25" customHeight="1">
      <x:c r="A4" s="4"/>
      <x:c r="B4" s="57" t="str">
        <x:v>Source Register</x:v>
      </x:c>
      <x:c r="C4" s="58"/>
      <x:c r="D4" s="58"/>
      <x:c r="E4" s="58"/>
      <x:c r="F4" s="58"/>
      <x:c r="G4" s="58"/>
    </x:row>
    <x:row r="5" ht="34" customHeight="1">
      <x:c r="A5" s="42"/>
      <x:c r="B5" s="40" t="str">
        <x:v>ID</x:v>
      </x:c>
      <x:c r="C5" s="40" t="str">
        <x:v>Document / publisher</x:v>
      </x:c>
      <x:c r="D5" s="40" t="str">
        <x:v>Date</x:v>
      </x:c>
      <x:c r="E5" s="40" t="str">
        <x:v>Type</x:v>
      </x:c>
      <x:c r="F5" s="40" t="str">
        <x:v>Page / section</x:v>
      </x:c>
      <x:c r="G5" s="40" t="str">
        <x:v>URL or use in model</x:v>
      </x:c>
    </x:row>
    <x:row r="6" ht="50" customHeight="1">
      <x:c r="A6" s="4"/>
      <x:c r="B6" s="6" t="str">
        <x:v>C01</x:v>
      </x:c>
      <x:c r="C6" s="6" t="str">
        <x:v>CAVA Group</x:v>
      </x:c>
      <x:c r="D6" s="6" t="str">
        <x:v>25 Feb 2026</x:v>
      </x:c>
      <x:c r="E6" s="6" t="str">
        <x:v>FY2025 Form 10-K</x:v>
      </x:c>
      <x:c r="F6" s="7" t="str">
        <x:v>Statements pp.59-64; MD&amp;A restaurant operating-data table; restaurant-level profit reconciliation</x:v>
      </x:c>
      <x:c r="G6" s="7" t="str">
        <x:v>https://www.sec.gov/Archives/edgar/data/1639438/000162828026011296/cava-20251228.htm</x:v>
      </x:c>
    </x:row>
    <x:row r="7" ht="50" customHeight="1">
      <x:c r="A7" s="4"/>
      <x:c r="B7" s="6" t="str">
        <x:v>C02</x:v>
      </x:c>
      <x:c r="C7" s="6" t="str">
        <x:v>CAVA Group</x:v>
      </x:c>
      <x:c r="D7" s="6" t="str">
        <x:v>20 May 2026</x:v>
      </x:c>
      <x:c r="E7" s="6" t="str">
        <x:v>Q1 FY2026 Form 10-Q</x:v>
      </x:c>
      <x:c r="F7" s="7" t="str">
        <x:v>Cover page; statements pp.6-10; EPS/share table; liquidity section</x:v>
      </x:c>
      <x:c r="G7" s="7" t="str">
        <x:v>https://www.sec.gov/Archives/edgar/data/1639438/000162828026036625/cava-20260419.htm</x:v>
      </x:c>
    </x:row>
    <x:row r="8" ht="50" customHeight="1">
      <x:c r="A8" s="4"/>
      <x:c r="B8" s="6" t="str">
        <x:v>C03</x:v>
      </x:c>
      <x:c r="C8" s="6" t="str">
        <x:v>CAVA Group</x:v>
      </x:c>
      <x:c r="D8" s="6" t="str">
        <x:v>19 May 2026</x:v>
      </x:c>
      <x:c r="E8" s="6" t="str">
        <x:v>Q1 FY2026 earnings release</x:v>
      </x:c>
      <x:c r="F8" s="6" t="str">
        <x:v>KPIs and updated FY2026 outlook</x:v>
      </x:c>
      <x:c r="G8" s="7" t="str">
        <x:v>https://www.sec.gov/Archives/edgar/data/1639438/000162828026036461/earningsrelease2026q1.htm</x:v>
      </x:c>
    </x:row>
    <x:row r="9" ht="50" customHeight="1">
      <x:c r="A9" s="4"/>
      <x:c r="B9" s="6" t="str">
        <x:v>C04</x:v>
      </x:c>
      <x:c r="C9" s="6" t="str">
        <x:v>CAVA Group</x:v>
      </x:c>
      <x:c r="D9" s="6" t="str">
        <x:v>27 Feb 2024</x:v>
      </x:c>
      <x:c r="E9" s="6" t="str">
        <x:v>FY2023 Form 10-K</x:v>
      </x:c>
      <x:c r="F9" s="7" t="str">
        <x:v>FY2021-FY2023 statements and KPIs</x:v>
      </x:c>
      <x:c r="G9" s="7" t="str">
        <x:v>https://www.sec.gov/Archives/edgar/data/1639438/000162828024007277/cava-20231231.htm</x:v>
      </x:c>
    </x:row>
    <x:row r="10" ht="50" customHeight="1">
      <x:c r="A10" s="4"/>
      <x:c r="B10" s="6" t="str">
        <x:v>C05</x:v>
      </x:c>
      <x:c r="C10" s="6" t="str">
        <x:v>Aswath Damodaran / NYU Stern</x:v>
      </x:c>
      <x:c r="D10" s="6" t="str">
        <x:v>Jan 2026</x:v>
      </x:c>
      <x:c r="E10" s="6" t="str">
        <x:v>Industry beta dataset</x:v>
      </x:c>
      <x:c r="F10" s="6" t="str">
        <x:v>Restaurant/Dining beta row</x:v>
      </x:c>
      <x:c r="G10" s="7" t="str">
        <x:v>https://pages.stern.nyu.edu/~adamodar/New_Home_Page/datafile/Betas.html</x:v>
      </x:c>
    </x:row>
    <x:row r="11" ht="52" customHeight="1">
      <x:c r="A11" s="4"/>
      <x:c r="B11" s="6" t="str">
        <x:v>C06</x:v>
      </x:c>
      <x:c r="C11" s="6" t="str">
        <x:v>U.S. Department of the Treasury</x:v>
      </x:c>
      <x:c r="D11" s="6" t="str">
        <x:v>5 Aug 2026</x:v>
      </x:c>
      <x:c r="E11" s="6" t="str">
        <x:v>Daily Treasury par yield curve</x:v>
      </x:c>
      <x:c r="F11" s="7" t="str">
        <x:v>10-year rate 4.63% on valuation date</x:v>
      </x:c>
      <x:c r="G11" s="7" t="str">
        <x:v>https://home.treasury.gov/resource-center/data-chart-center/interest-rates/TextView?field_tdr_date_value=2026&amp;type=daily_treasury_yield_curve</x:v>
      </x:c>
    </x:row>
    <x:row r="12" ht="50" customHeight="1">
      <x:c r="A12" s="4"/>
      <x:c r="B12" s="6" t="str">
        <x:v>C07</x:v>
      </x:c>
      <x:c r="C12" s="6" t="str">
        <x:v>Aswath Damodaran / NYU Stern</x:v>
      </x:c>
      <x:c r="D12" s="7" t="str">
        <x:v>2025 estimate; page updated Jan 2026</x:v>
      </x:c>
      <x:c r="E12" s="6" t="str">
        <x:v>Academic / market-data estimate</x:v>
      </x:c>
      <x:c r="F12" s="7" t="str">
        <x:v>U.S. implied equity risk premium: 4.23%. This is a 2025 annual estimate, not a 5 August 2026 observation.</x:v>
      </x:c>
      <x:c r="G12" s="7" t="str">
        <x:v>https://pages.stern.nyu.edu/~adamodar/New_Home_Page/datafile/histimpl.html</x:v>
      </x:c>
    </x:row>
    <x:row r="13" ht="50" customHeight="1">
      <x:c r="A13" s="4"/>
      <x:c r="B13" s="6" t="str">
        <x:v>C08</x:v>
      </x:c>
      <x:c r="C13" s="6" t="str">
        <x:v>Company beta assumption</x:v>
      </x:c>
      <x:c r="D13" s="6" t="str">
        <x:v>5 Aug 2026 model assumption</x:v>
      </x:c>
      <x:c r="E13" s="6" t="str">
        <x:v>Analyst estimate</x:v>
      </x:c>
      <x:c r="F13" s="7" t="str">
        <x:v>Analyst operating-risk assumption of 1.75, not an observed provider beta.</x:v>
      </x:c>
      <x:c r="G13" s="6" t="str">
        <x:v>Analyst assumption</x:v>
      </x:c>
    </x:row>
    <x:row r="14" ht="50" customHeight="1">
      <x:c r="A14" s="4"/>
      <x:c r="B14" s="6" t="str">
        <x:v>C09</x:v>
      </x:c>
      <x:c r="C14" s="7" t="str">
        <x:v>Yahoo Finance historical-price page</x:v>
      </x:c>
      <x:c r="D14" s="6" t="str">
        <x:v>5 Aug 2026</x:v>
      </x:c>
      <x:c r="E14" s="6" t="str">
        <x:v>5 Aug 2026 closing share price</x:v>
      </x:c>
      <x:c r="F14" s="7" t="str">
        <x:v>CAVA 5 Aug 2026 close $66.17; market cap derived using 116.474m current basic shares</x:v>
      </x:c>
      <x:c r="G14" s="7" t="str">
        <x:v>https://ca.finance.yahoo.com/quote/CAVA/history/</x:v>
      </x:c>
    </x:row>
    <x:row r="15" ht="50" customHeight="1">
      <x:c r="A15" s="4"/>
      <x:c r="B15" s="6" t="str">
        <x:v>C10</x:v>
      </x:c>
      <x:c r="C15" s="6" t="str">
        <x:v>Chipotle Mexican Grill</x:v>
      </x:c>
      <x:c r="D15" s="6" t="str">
        <x:v>3 Feb 2026</x:v>
      </x:c>
      <x:c r="E15" s="6" t="str">
        <x:v>FY2025 results</x:v>
      </x:c>
      <x:c r="F15" s="6" t="str">
        <x:v>Revenue, growth, margins</x:v>
      </x:c>
      <x:c r="G15" s="7" t="str">
        <x:v>https://ir.chipotle.com/2026-02-03-CHIPOTLE-ANNOUNCES-FOURTH-QUARTER-AND-FULL-YEAR-2025-RESULTS</x:v>
      </x:c>
    </x:row>
    <x:row r="16" ht="52" customHeight="1">
      <x:c r="A16" s="4"/>
      <x:c r="B16" s="6" t="str">
        <x:v>C11</x:v>
      </x:c>
      <x:c r="C16" s="6" t="str">
        <x:v>Shake Shack</x:v>
      </x:c>
      <x:c r="D16" s="6" t="str">
        <x:v>26 Feb 2026</x:v>
      </x:c>
      <x:c r="E16" s="6" t="str">
        <x:v>FY2025 results</x:v>
      </x:c>
      <x:c r="F16" s="7" t="str">
        <x:v>Revenue, operating income, adjusted EBITDA</x:v>
      </x:c>
      <x:c r="G16" s="7" t="str">
        <x:v>https://investor.shakeshack.com/press-releases/press-release-details/2026/Shake-Shack-Announces-Fourth-Quarter-and-Fiscal-Year-2025-Financial-Results/default.aspx</x:v>
      </x:c>
    </x:row>
    <x:row r="17" ht="50" customHeight="1">
      <x:c r="A17" s="4"/>
      <x:c r="B17" s="6" t="str">
        <x:v>C12</x:v>
      </x:c>
      <x:c r="C17" s="6" t="str">
        <x:v>Wingstop</x:v>
      </x:c>
      <x:c r="D17" s="6" t="str">
        <x:v>18 Feb 2026</x:v>
      </x:c>
      <x:c r="E17" s="6" t="str">
        <x:v>FY2025 results</x:v>
      </x:c>
      <x:c r="F17" s="6" t="str">
        <x:v>Revenue, growth, adjusted EBITDA</x:v>
      </x:c>
      <x:c r="G17" s="7" t="str">
        <x:v>https://ir.wingstop.com/wingstop-inc-reports-fourth-quarter-and-fiscal-year-2025-financial-results/</x:v>
      </x:c>
    </x:row>
    <x:row r="18" ht="50" customHeight="1">
      <x:c r="A18" s="4"/>
      <x:c r="B18" s="6" t="str">
        <x:v>C13</x:v>
      </x:c>
      <x:c r="C18" s="6" t="str">
        <x:v>CAVA Group</x:v>
      </x:c>
      <x:c r="D18" s="6" t="str">
        <x:v>24 Apr 2026</x:v>
      </x:c>
      <x:c r="E18" s="6" t="str">
        <x:v>2026 proxy statement</x:v>
      </x:c>
      <x:c r="F18" s="6" t="str">
        <x:v>Governance and equity context</x:v>
      </x:c>
      <x:c r="G18" s="7" t="str">
        <x:v>https://www.sec.gov/Archives/edgar/data/1639438/000162828026027224/cava-20260424.htm</x:v>
      </x:c>
    </x:row>
    <x:row r="19" ht="50" customHeight="1">
      <x:c r="A19" s="4"/>
      <x:c r="B19" s="6" t="str">
        <x:v>C14</x:v>
      </x:c>
      <x:c r="C19" s="7" t="str">
        <x:v>Yahoo Finance historical-price pages</x:v>
      </x:c>
      <x:c r="D19" s="6" t="str">
        <x:v>5 Aug 2026</x:v>
      </x:c>
      <x:c r="E19" s="6" t="str">
        <x:v>Market data</x:v>
      </x:c>
      <x:c r="F19" s="7" t="str">
        <x:v>Peer dated market fields not independently verified; shown as N/V.</x:v>
      </x:c>
      <x:c r="G19" s="7" t="str">
        <x:v>https://finance.yahoo.com/quote/CMG/history/</x:v>
      </x:c>
    </x:row>
    <x:row r="20" ht="50" customHeight="1">
      <x:c r="A20" s="4"/>
      <x:c r="B20" s="6" t="str">
        <x:v>C15</x:v>
      </x:c>
      <x:c r="C20" s="6" t="str">
        <x:v>CAVA Group</x:v>
      </x:c>
      <x:c r="D20" s="6" t="str">
        <x:v>11 Aug 2026</x:v>
      </x:c>
      <x:c r="E20" s="7" t="str">
        <x:v>Q2 FY2026 results (post-valuation checkpoint)</x:v>
      </x:c>
      <x:c r="F20" s="7" t="str">
        <x:v>Revenue, traffic, AUV, restaurant-level margin, openings, and guidance</x:v>
      </x:c>
      <x:c r="G20" s="7" t="str">
        <x:v>https://investor.cava.com/news/news-details/2026/CAVA-Group-Reports-Second-Quarter-2026-Results/default.aspx</x:v>
      </x:c>
    </x:row>
    <x:row r="21" ht="50" customHeight="1">
      <x:c r="A21" s="4"/>
      <x:c r="B21" s="6" t="str">
        <x:v>C16</x:v>
      </x:c>
      <x:c r="C21" s="6" t="str">
        <x:v>CAVA Group</x:v>
      </x:c>
      <x:c r="D21" s="6" t="str">
        <x:v>11 Aug 2026</x:v>
      </x:c>
      <x:c r="E21" s="7" t="str">
        <x:v>Q2 FY2026 Form 10-Q (post-valuation checkpoint)</x:v>
      </x:c>
      <x:c r="F21" s="7" t="str">
        <x:v>Unaudited statements, cash flow, liquidity, restaurant count, and shares</x:v>
      </x:c>
      <x:c r="G21" s="7" t="str">
        <x:v>https://www.sec.gov/Archives/edgar/data/1639438/000162828026055864/cava-20260712.htm</x:v>
      </x:c>
    </x:row>
    <x:row r="22" ht="23" customHeight="1">
      <x:c r="A22" s="4"/>
      <x:c r="B22" s="4"/>
      <x:c r="C22" s="4"/>
      <x:c r="D22" s="4"/>
      <x:c r="E22" s="4"/>
      <x:c r="F22" s="4"/>
      <x:c r="G22" s="4"/>
    </x:row>
    <x:row r="23" ht="23" customHeight="1">
      <x:c r="A23" s="4"/>
      <x:c r="B23" s="4"/>
      <x:c r="C23" s="4"/>
      <x:c r="D23" s="4"/>
      <x:c r="E23" s="4"/>
      <x:c r="F23" s="4"/>
      <x:c r="G23" s="4"/>
    </x:row>
    <x:row r="24" ht="23" customHeight="1">
      <x:c r="A24" s="4"/>
      <x:c r="B24" s="4"/>
      <x:c r="C24" s="4"/>
      <x:c r="D24" s="4"/>
      <x:c r="E24" s="4"/>
      <x:c r="F24" s="4"/>
      <x:c r="G24" s="4"/>
    </x:row>
    <x:row r="25" ht="23" customHeight="1">
      <x:c r="A25" s="4"/>
      <x:c r="B25" s="4"/>
      <x:c r="C25" s="4"/>
      <x:c r="D25" s="4"/>
      <x:c r="E25" s="4"/>
      <x:c r="F25" s="4"/>
      <x:c r="G25" s="4"/>
    </x:row>
    <x:row r="26" ht="23" customHeight="1">
      <x:c r="A26" s="4"/>
      <x:c r="B26" s="4"/>
      <x:c r="C26" s="4"/>
      <x:c r="D26" s="4"/>
      <x:c r="E26" s="4"/>
      <x:c r="F26" s="4"/>
      <x:c r="G26" s="4"/>
    </x:row>
    <x:row r="27" ht="23" customHeight="1">
      <x:c r="A27" s="4"/>
      <x:c r="B27" s="4"/>
      <x:c r="C27" s="4"/>
      <x:c r="D27" s="4"/>
      <x:c r="E27" s="4"/>
      <x:c r="F27" s="4"/>
      <x:c r="G27" s="4"/>
    </x:row>
    <x:row r="28" ht="23" customHeight="1">
      <x:c r="A28" s="4"/>
      <x:c r="B28" s="4"/>
      <x:c r="C28" s="4"/>
      <x:c r="D28" s="4"/>
      <x:c r="E28" s="4"/>
      <x:c r="F28" s="4"/>
      <x:c r="G28" s="4"/>
    </x:row>
    <x:row r="29" ht="23" customHeight="1">
      <x:c r="A29" s="4"/>
      <x:c r="B29" s="4"/>
      <x:c r="C29" s="4"/>
      <x:c r="D29" s="4"/>
      <x:c r="E29" s="4"/>
      <x:c r="F29" s="4"/>
      <x:c r="G29" s="4"/>
    </x:row>
    <x:row r="30" ht="23" customHeight="1">
      <x:c r="A30" s="4"/>
      <x:c r="B30" s="4"/>
      <x:c r="C30" s="4"/>
      <x:c r="D30" s="4"/>
      <x:c r="E30" s="4"/>
      <x:c r="F30" s="4"/>
      <x:c r="G30" s="4"/>
    </x:row>
  </x:sheetData>
  <x:pageMargins left="0.7" right="0.7" top="0.75" bottom="0.75" header="0.3" footer="0.3"/>
</x:worksheet>
</file>